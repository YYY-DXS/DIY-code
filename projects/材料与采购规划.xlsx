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f4735f2ab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d9b8e88a3f6541ba"/>
    <x:sheet xmlns:r="http://schemas.openxmlformats.org/officeDocument/2006/relationships" name="材料总表" sheetId="2" r:id="Rfc5442e1c0ac4cf5"/>
    <x:sheet xmlns:r="http://schemas.openxmlformats.org/officeDocument/2006/relationships" name="分项预算" sheetId="3" r:id="R9c17a1a3f4264802"/>
    <x:sheet xmlns:r="http://schemas.openxmlformats.org/officeDocument/2006/relationships" name="工具与设备" sheetId="4" r:id="R889fe47215374716"/>
    <x:sheet xmlns:r="http://schemas.openxmlformats.org/officeDocument/2006/relationships" name="线上线下同步" sheetId="5" r:id="Rcd4e2af8b1d44c6a"/>
    <x:sheet xmlns:r="http://schemas.openxmlformats.org/officeDocument/2006/relationships" name="说明" sheetId="6" r:id="R85adc550462c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8">
    <x:font>
      <x:sz val="11"/>
      <x:name val="Carlito"/>
    </x:font>
    <x:font>
      <x:b/>
      <x:sz val="14"/>
      <x:color rgb="FF1F2937"/>
      <x:name val="Arial"/>
    </x:font>
    <x:font>
      <x:i/>
      <x:sz val="9"/>
      <x:color rgb="FF6B728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1F3864"/>
      <x:name val="Arial"/>
    </x:font>
    <x:font>
      <x:b/>
      <x:sz val="11"/>
      <x:color rgb="FF1F386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2F2F2"/>
      </x:patternFill>
    </x:fill>
    <x:fill>
      <x:patternFill patternType="solid">
        <x:fgColor rgb="FFD9E2F3"/>
      </x:patternFill>
    </x:fill>
  </x:fills>
  <x:borders count="11">
    <x:border/>
    <x:border>
      <x:left style="thin">
        <x:color rgb="FFBFBFBF"/>
      </x:left>
      <x:top style="thin">
        <x:color rgb="FFBFBFBF"/>
      </x:top>
      <x:bottom style="thin">
        <x:color rgb="FFE7E6E6"/>
      </x:bottom>
    </x:border>
    <x:border>
      <x:top style="thin">
        <x:color rgb="FFBFBFBF"/>
      </x:top>
      <x:bottom style="thin">
        <x:color rgb="FFE7E6E6"/>
      </x:bottom>
    </x:border>
    <x:border>
      <x:right style="thin">
        <x:color rgb="FFBFBFBF"/>
      </x:right>
      <x:top style="thin">
        <x:color rgb="FFBFBFBF"/>
      </x:top>
      <x:bottom style="thin">
        <x:color rgb="FFE7E6E6"/>
      </x:bottom>
    </x:border>
    <x:border>
      <x:left style="thin">
        <x:color rgb="FFBFBFBF"/>
      </x:left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right style="thin">
        <x:color rgb="FFBFBFBF"/>
      </x:right>
      <x:top style="thin">
        <x:color rgb="FFE7E6E6"/>
      </x:top>
      <x:bottom style="thin">
        <x:color rgb="FFE7E6E6"/>
      </x:bottom>
    </x:border>
    <x:border>
      <x:left style="thin">
        <x:color rgb="FFBFBFBF"/>
      </x:left>
      <x:top style="thin">
        <x:color rgb="FFE7E6E6"/>
      </x:top>
      <x:bottom style="thin">
        <x:color rgb="FFBFBFBF"/>
      </x:bottom>
    </x:border>
    <x:border>
      <x:top style="thin">
        <x:color rgb="FFE7E6E6"/>
      </x:top>
      <x:bottom style="thin">
        <x:color rgb="FFBFBFBF"/>
      </x:bottom>
    </x:border>
    <x:border>
      <x:right style="thin">
        <x:color rgb="FFBFBFBF"/>
      </x:right>
      <x:top style="thin">
        <x:color rgb="FFE7E6E6"/>
      </x:top>
      <x:bottom style="thin">
        <x:color rgb="FFBFBFBF"/>
      </x:bottom>
    </x:border>
    <x:border>
      <x:bottom style="thin">
        <x:color rgb="FFBFBFBF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right" vertical="center"/>
    </x:xf>
    <x:xf numFmtId="0" fontId="4" fillId="0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201" fontId="5" fillId="3" borderId="8" xfId="0" applyNumberFormat="1" applyFont="1" applyFill="1" applyBorder="1" applyAlignment="1">
      <x:alignment horizontal="right" vertical="center"/>
    </x:xf>
    <x:xf numFmtId="0" fontId="5" fillId="3" borderId="8" xfId="0" applyNumberFormat="1" applyFont="1" applyFill="1" applyBorder="1" applyAlignment="1">
      <x:alignment horizontal="center" vertical="center"/>
    </x:xf>
    <x:xf numFmtId="0" fontId="5" fillId="3" borderId="9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horizontal="right"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/>
    <x:xf numFmtId="0" fontId="0" fillId="0" borderId="1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0" fontId="7" fillId="0" borderId="0" xfId="0" applyNumberFormat="1" applyFont="1" applyFill="1" applyBorder="1" applyAlignment="1">
      <x:alignment horizontal="right"/>
    </x:xf>
    <x:xf numFmtId="201" fontId="7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 applyAlignment="1">
      <x:alignment horizontal="right"/>
    </x:xf>
    <x:xf numFmtId="200" fontId="7" fillId="0" borderId="0" xfId="0" applyNumberFormat="1" applyFont="1" applyFill="1" applyBorder="1" applyAlignment="1">
      <x:alignment horizontal="right" vertical="center"/>
    </x:xf>
    <x:xf numFmtId="201" fontId="7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horizontal="right" vertical="center"/>
    </x:xf>
    <x:xf numFmtId="0" fontId="6" fillId="4" borderId="1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200" fontId="7" fillId="0" borderId="6" xfId="0" applyNumberFormat="1" applyFont="1" applyFill="1" applyBorder="1" applyAlignment="1">
      <x:alignment horizontal="right" vertical="center"/>
    </x:xf>
    <x:xf numFmtId="201" fontId="7" fillId="0" borderId="6" xfId="0" applyNumberFormat="1" applyFont="1" applyFill="1" applyBorder="1" applyAlignment="1">
      <x:alignment horizontal="right" vertical="center"/>
    </x:xf>
    <x:xf numFmtId="0" fontId="7" fillId="0" borderId="6" xfId="0" applyNumberFormat="1" applyFont="1" applyFill="1" applyBorder="1" applyAlignment="1">
      <x:alignment horizontal="right" vertical="center"/>
    </x:xf>
    <x:xf numFmtId="0" fontId="7" fillId="0" borderId="9" xfId="0" applyNumberFormat="1" applyFont="1" applyFill="1" applyBorder="1" applyAlignment="1">
      <x:alignment horizontal="right" vertical="center"/>
    </x:xf>
    <x:xf numFmtId="201" fontId="4" fillId="0" borderId="6" xfId="0" applyNumberFormat="1" applyFont="1" applyFill="1" applyBorder="1" applyAlignment="1">
      <x:alignment horizontal="right" vertical="center"/>
    </x:xf>
    <x:xf numFmtId="201" fontId="5" fillId="3" borderId="9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EF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4ecbec17b4033" /><Relationship Type="http://schemas.openxmlformats.org/officeDocument/2006/relationships/theme" Target="/xl/theme/theme1.xml" Id="R90e9a48fac544ebf" /><Relationship Type="http://schemas.openxmlformats.org/officeDocument/2006/relationships/sharedStrings" Target="/xl/sharedStrings.xml" Id="R7cbf95c050af4364" /><Relationship Type="http://schemas.openxmlformats.org/officeDocument/2006/relationships/worksheet" Target="/xl/worksheets/sheet1.xml" Id="Rd9b8e88a3f6541ba" /><Relationship Type="http://schemas.openxmlformats.org/officeDocument/2006/relationships/worksheet" Target="/xl/worksheets/sheet2.xml" Id="Rfc5442e1c0ac4cf5" /><Relationship Type="http://schemas.openxmlformats.org/officeDocument/2006/relationships/worksheet" Target="/xl/worksheets/sheet3.xml" Id="R9c17a1a3f4264802" /><Relationship Type="http://schemas.openxmlformats.org/officeDocument/2006/relationships/worksheet" Target="/xl/worksheets/sheet4.xml" Id="R889fe47215374716" /><Relationship Type="http://schemas.openxmlformats.org/officeDocument/2006/relationships/worksheet" Target="/xl/worksheets/sheet5.xml" Id="Rcd4e2af8b1d44c6a" /><Relationship Type="http://schemas.openxmlformats.org/officeDocument/2006/relationships/worksheet" Target="/xl/worksheets/sheet6.xml" Id="R85adc550462c42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864"/>
  </x:sheetPr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48" hidden="0" customWidth="1"/>
    <x:col min="4" max="4" width="16" hidden="0" customWidth="1"/>
    <x:col min="5" max="5" width="12" hidden="0" customWidth="1"/>
    <x:col min="6" max="6" width="12" hidden="0" customWidth="1"/>
  </x:cols>
  <x:sheetData>
    <x:row r="2">
      <x:c r="A2" s="44" t="str">
        <x:v>DIY 项目材料与线上线下同步总规划</x:v>
      </x:c>
      <x:c r="B2" s="45"/>
      <x:c r="C2" s="45"/>
      <x:c r="D2" s="45"/>
      <x:c r="E2" s="45"/>
      <x:c r="F2" s="45"/>
    </x:row>
    <x:row r="3">
      <x:c r="A3" s="2" t="str">
        <x:v>更新日期 2026-10-12。材料、存放位置、线上状态一律以本工作簿为准，线下实物改动后回填这里。</x:v>
      </x:c>
    </x:row>
    <x:row r="5" ht="20" customHeight="1">
      <x:c r="A5" s="58" t="str">
        <x:v>关键数字</x:v>
      </x:c>
      <x:c r="B5" s="59"/>
      <x:c r="C5" s="48"/>
    </x:row>
    <x:row r="6">
      <x:c r="A6" s="24" t="str">
        <x:v>项目数</x:v>
      </x:c>
      <x:c r="B6" s="60" t="n">
        <x:f>9</x:f>
        <x:v>9</x:v>
      </x:c>
    </x:row>
    <x:row r="7">
      <x:c r="A7" s="24" t="str">
        <x:v>材料条目数</x:v>
      </x:c>
      <x:c r="B7" s="60" t="e">
        <x:f>COUNTA(材料总表!$B$5:$B$101)</x:f>
        <x:v>#NAME?</x:v>
      </x:c>
    </x:row>
    <x:row r="8">
      <x:c r="A8" s="24" t="str">
        <x:v>待购条目数</x:v>
      </x:c>
      <x:c r="B8" s="60" t="e">
        <x:f>COUNTIF(材料总表!$I$5:$I$101,"待购")</x:f>
        <x:v>#NAME?</x:v>
      </x:c>
    </x:row>
    <x:row r="9">
      <x:c r="A9" s="24" t="str">
        <x:v>待购预算合计（元）</x:v>
      </x:c>
      <x:c r="B9" s="61" t="e">
        <x:f>SUMIF(材料总表!$I$5:$I$101,"待购",材料总表!$H$5:$H$101)</x:f>
        <x:v>#NAME?</x:v>
      </x:c>
    </x:row>
    <x:row r="10">
      <x:c r="A10" s="24" t="str">
        <x:v>P0 立即采购（元）</x:v>
      </x:c>
      <x:c r="B10" s="61" t="e">
        <x:f>SUMIF(材料总表!$J$5:$J$101,"P0 立即采购",材料总表!$H$5:$H$101)</x:f>
        <x:v>#NAME?</x:v>
      </x:c>
    </x:row>
    <x:row r="11">
      <x:c r="A11" s="24" t="str">
        <x:v>已有物资参考值（元）</x:v>
      </x:c>
      <x:c r="B11" s="61" t="e">
        <x:f>SUMIF(材料总表!$I$5:$I$101,"已有",材料总表!$H$5:$H$101)</x:f>
        <x:v>#NAME?</x:v>
      </x:c>
    </x:row>
    <x:row r="12">
      <x:c r="A12" s="24" t="str">
        <x:v>待同步项目数</x:v>
      </x:c>
      <x:c r="B12" s="62" t="n">
        <x:f>COUNTIF('线上线下同步'!$G$5:$G$13,"待处理")</x:f>
        <x:v>7</x:v>
      </x:c>
    </x:row>
    <x:row r="13">
      <x:c r="A13" s="37" t="str">
        <x:v>已完成项目数</x:v>
      </x:c>
      <x:c r="B13" s="63" t="n">
        <x:f>COUNTIF('线上线下同步'!$G$5:$G$13,"已完成")</x:f>
        <x:v>0</x:v>
      </x:c>
    </x:row>
    <x:row r="15" ht="20" customHeight="1">
      <x:c r="A15" s="48" t="str">
        <x:v>项目一览</x:v>
      </x:c>
      <x:c r="B15" s="48"/>
      <x:c r="C15" s="48"/>
      <x:c r="D15" s="48"/>
      <x:c r="E15" s="48"/>
      <x:c r="F15" s="48"/>
    </x:row>
    <x:row r="16" ht="22" customHeight="1">
      <x:c r="A16" s="21" t="str">
        <x:v>项目</x:v>
      </x:c>
      <x:c r="B16" s="22" t="str">
        <x:v>类别 · 阶段</x:v>
      </x:c>
      <x:c r="C16" s="22" t="str">
        <x:v>核心产出</x:v>
      </x:c>
      <x:c r="D16" s="22" t="str">
        <x:v>待购金额（元）</x:v>
      </x:c>
      <x:c r="E16" s="22" t="str">
        <x:v>待购条目</x:v>
      </x:c>
      <x:c r="F16" s="23" t="str">
        <x:v>材料条目</x:v>
      </x:c>
    </x:row>
    <x:row r="17">
      <x:c r="A17" s="24" t="str">
        <x:v>智能日历</x:v>
      </x:c>
      <x:c r="B17" s="25" t="str">
        <x:v>线下实物 · 已完成</x:v>
      </x:c>
      <x:c r="C17" s="25" t="str">
        <x:v>成品智能台历（自动翻页 + 温湿度 + 灯带）</x:v>
      </x:c>
      <x:c r="D17" s="28" t="e">
        <x:f>SUMIFS(材料总表!$H$5:$H$101,材料总表!$B$5:$B$101,$A17,材料总表!$I$5:$I$101,"待购")</x:f>
        <x:v>#NAME?</x:v>
      </x:c>
      <x:c r="E17" s="28" t="e">
        <x:f>COUNTIFS(材料总表!$B$5:$B$101,$A17,材料总表!$I$5:$I$101,"待购")</x:f>
        <x:v>#NAME?</x:v>
      </x:c>
      <x:c r="F17" s="64" t="e">
        <x:f>COUNTIF(材料总表!$B$5:$B$101,$A17)</x:f>
        <x:v>#NAME?</x:v>
      </x:c>
    </x:row>
    <x:row r="18">
      <x:c r="A18" s="24" t="str">
        <x:v>折叠通信器</x:v>
      </x:c>
      <x:c r="B18" s="25" t="str">
        <x:v>线上线下 · 方案定稿</x:v>
      </x:c>
      <x:c r="C18" s="25" t="str">
        <x:v>ESP32 折叠键盘中文通信器（B 站投稿）</x:v>
      </x:c>
      <x:c r="D18" s="28" t="e">
        <x:f>SUMIFS(材料总表!$H$5:$H$101,材料总表!$B$5:$B$101,$A18,材料总表!$I$5:$I$101,"待购")</x:f>
        <x:v>#NAME?</x:v>
      </x:c>
      <x:c r="E18" s="28" t="e">
        <x:f>COUNTIFS(材料总表!$B$5:$B$101,$A18,材料总表!$I$5:$I$101,"待购")</x:f>
        <x:v>#NAME?</x:v>
      </x:c>
      <x:c r="F18" s="64" t="e">
        <x:f>COUNTIF(材料总表!$B$5:$B$101,$A18)</x:f>
        <x:v>#NAME?</x:v>
      </x:c>
    </x:row>
    <x:row r="19">
      <x:c r="A19" s="24" t="str">
        <x:v>齐柏林飞艇</x:v>
      </x:c>
      <x:c r="B19" s="25" t="str">
        <x:v>线上线下 · 方案完成</x:v>
      </x:c>
      <x:c r="C19" s="25" t="str">
        <x:v>1:1000 LZ127 复刻模型 + 开源图纸</x:v>
      </x:c>
      <x:c r="D19" s="28" t="e">
        <x:f>SUMIFS(材料总表!$H$5:$H$101,材料总表!$B$5:$B$101,$A19,材料总表!$I$5:$I$101,"待购")</x:f>
        <x:v>#NAME?</x:v>
      </x:c>
      <x:c r="E19" s="28" t="e">
        <x:f>COUNTIFS(材料总表!$B$5:$B$101,$A19,材料总表!$I$5:$I$101,"待购")</x:f>
        <x:v>#NAME?</x:v>
      </x:c>
      <x:c r="F19" s="64" t="e">
        <x:f>COUNTIF(材料总表!$B$5:$B$101,$A19)</x:f>
        <x:v>#NAME?</x:v>
      </x:c>
    </x:row>
    <x:row r="20">
      <x:c r="A20" s="24" t="str">
        <x:v>CL-1201</x:v>
      </x:c>
      <x:c r="B20" s="25" t="str">
        <x:v>方案评估</x:v>
      </x:c>
      <x:c r="C20" s="25" t="str">
        <x:v>新月形飞翼概念机 3D 打印模型</x:v>
      </x:c>
      <x:c r="D20" s="28" t="e">
        <x:f>SUMIFS(材料总表!$H$5:$H$101,材料总表!$B$5:$B$101,$A20,材料总表!$I$5:$I$101,"待购")</x:f>
        <x:v>#NAME?</x:v>
      </x:c>
      <x:c r="E20" s="28" t="e">
        <x:f>COUNTIFS(材料总表!$B$5:$B$101,$A20,材料总表!$I$5:$I$101,"待购")</x:f>
        <x:v>#NAME?</x:v>
      </x:c>
      <x:c r="F20" s="64" t="e">
        <x:f>COUNTIF(材料总表!$B$5:$B$101,$A20)</x:f>
        <x:v>#NAME?</x:v>
      </x:c>
    </x:row>
    <x:row r="21">
      <x:c r="A21" s="24" t="str">
        <x:v>自动钢琴</x:v>
      </x:c>
      <x:c r="B21" s="25" t="str">
        <x:v>线上线下 · 方案完成</x:v>
      </x:c>
      <x:c r="C21" s="25" t="str">
        <x:v>24 路电磁铁阵列自动演奏装置</x:v>
      </x:c>
      <x:c r="D21" s="28" t="e">
        <x:f>SUMIFS(材料总表!$H$5:$H$101,材料总表!$B$5:$B$101,$A21,材料总表!$I$5:$I$101,"待购")</x:f>
        <x:v>#NAME?</x:v>
      </x:c>
      <x:c r="E21" s="28" t="e">
        <x:f>COUNTIFS(材料总表!$B$5:$B$101,$A21,材料总表!$I$5:$I$101,"待购")</x:f>
        <x:v>#NAME?</x:v>
      </x:c>
      <x:c r="F21" s="64" t="e">
        <x:f>COUNTIF(材料总表!$B$5:$B$101,$A21)</x:f>
        <x:v>#NAME?</x:v>
      </x:c>
    </x:row>
    <x:row r="22">
      <x:c r="A22" s="24" t="str">
        <x:v>助力外骨骼</x:v>
      </x:c>
      <x:c r="B22" s="25" t="str">
        <x:v>方案评估</x:v>
      </x:c>
      <x:c r="C22" s="25" t="str">
        <x:v>助力外骨骼原型（先做单腿/单臂）</x:v>
      </x:c>
      <x:c r="D22" s="28" t="e">
        <x:f>SUMIFS(材料总表!$H$5:$H$101,材料总表!$B$5:$B$101,$A22,材料总表!$I$5:$I$101,"待购")</x:f>
        <x:v>#NAME?</x:v>
      </x:c>
      <x:c r="E22" s="28" t="e">
        <x:f>COUNTIFS(材料总表!$B$5:$B$101,$A22,材料总表!$I$5:$I$101,"待购")</x:f>
        <x:v>#NAME?</x:v>
      </x:c>
      <x:c r="F22" s="64" t="e">
        <x:f>COUNTIF(材料总表!$B$5:$B$101,$A22)</x:f>
        <x:v>#NAME?</x:v>
      </x:c>
    </x:row>
    <x:row r="23">
      <x:c r="A23" s="24" t="str">
        <x:v>模型涂装</x:v>
      </x:c>
      <x:c r="B23" s="25" t="str">
        <x:v>待启动</x:v>
      </x:c>
      <x:c r="C23" s="25" t="str">
        <x:v>喷笔 + 气泵涂装工位</x:v>
      </x:c>
      <x:c r="D23" s="28" t="e">
        <x:f>SUMIFS(材料总表!$H$5:$H$101,材料总表!$B$5:$B$101,$A23,材料总表!$I$5:$I$101,"待购")</x:f>
        <x:v>#NAME?</x:v>
      </x:c>
      <x:c r="E23" s="28" t="e">
        <x:f>COUNTIFS(材料总表!$B$5:$B$101,$A23,材料总表!$I$5:$I$101,"待购")</x:f>
        <x:v>#NAME?</x:v>
      </x:c>
      <x:c r="F23" s="64" t="e">
        <x:f>COUNTIF(材料总表!$B$5:$B$101,$A23)</x:f>
        <x:v>#NAME?</x:v>
      </x:c>
    </x:row>
    <x:row r="24">
      <x:c r="A24" s="24" t="str">
        <x:v>自我介绍视频</x:v>
      </x:c>
      <x:c r="B24" s="25" t="str">
        <x:v>进行中</x:v>
      </x:c>
      <x:c r="C24" s="25" t="str">
        <x:v>2-3 分钟自我介绍故事短片</x:v>
      </x:c>
      <x:c r="D24" s="28" t="e">
        <x:f>SUMIFS(材料总表!$H$5:$H$101,材料总表!$B$5:$B$101,$A24,材料总表!$I$5:$I$101,"待购")</x:f>
        <x:v>#NAME?</x:v>
      </x:c>
      <x:c r="E24" s="28" t="e">
        <x:f>COUNTIFS(材料总表!$B$5:$B$101,$A24,材料总表!$I$5:$I$101,"待购")</x:f>
        <x:v>#NAME?</x:v>
      </x:c>
      <x:c r="F24" s="64" t="e">
        <x:f>COUNTIF(材料总表!$B$5:$B$101,$A24)</x:f>
        <x:v>#NAME?</x:v>
      </x:c>
    </x:row>
    <x:row r="25">
      <x:c r="A25" s="24" t="str">
        <x:v>Minecraft模组</x:v>
      </x:c>
      <x:c r="B25" s="25" t="str">
        <x:v>方案已定</x:v>
      </x:c>
      <x:c r="C25" s="25" t="str">
        <x:v>现实主义生存机制 Minecraft Forge 模组</x:v>
      </x:c>
      <x:c r="D25" s="28" t="e">
        <x:f>SUMIFS(材料总表!$H$5:$H$101,材料总表!$B$5:$B$101,$A25,材料总表!$I$5:$I$101,"待购")</x:f>
        <x:v>#NAME?</x:v>
      </x:c>
      <x:c r="E25" s="28" t="e">
        <x:f>COUNTIFS(材料总表!$B$5:$B$101,$A25,材料总表!$I$5:$I$101,"待购")</x:f>
        <x:v>#NAME?</x:v>
      </x:c>
      <x:c r="F25" s="64" t="e">
        <x:f>COUNTIF(材料总表!$B$5:$B$101,$A25)</x:f>
        <x:v>#NAME?</x:v>
      </x:c>
    </x:row>
    <x:row r="26">
      <x:c r="A26" s="30" t="str">
        <x:v>合计</x:v>
      </x:c>
      <x:c r="B26" s="31"/>
      <x:c r="C26" s="31"/>
      <x:c r="D26" s="32" t="e">
        <x:f>SUM(D17:D25)</x:f>
        <x:v>#NAME?</x:v>
      </x:c>
      <x:c r="E26" s="32" t="e">
        <x:f>SUM(E17:E25)</x:f>
        <x:v>#NAME?</x:v>
      </x:c>
      <x:c r="F26" s="65" t="e">
        <x:f>SUM(F17:F25)</x:f>
        <x:v>#NAME?</x:v>
      </x:c>
    </x:row>
    <x:row r="28" ht="20" customHeight="1">
      <x:c r="A28" s="48" t="str">
        <x:v>下一步行动</x:v>
      </x:c>
      <x:c r="B28" s="48"/>
      <x:c r="C28" s="48"/>
    </x:row>
    <x:row r="29" ht="22" customHeight="1">
      <x:c r="A29" s="21" t="str">
        <x:v>行动</x:v>
      </x:c>
      <x:c r="B29" s="22" t="str">
        <x:v>关联项目</x:v>
      </x:c>
      <x:c r="C29" s="23" t="str">
        <x:v>说明</x:v>
      </x:c>
    </x:row>
    <x:row r="30">
      <x:c r="A30" s="24" t="str">
        <x:v>先买 2 个电磁铁验证敲击</x:v>
      </x:c>
      <x:c r="B30" s="25" t="str">
        <x:v>自动钢琴</x:v>
      </x:c>
      <x:c r="C30" s="29" t="str">
        <x:v>敲击力度和声音过了再买剩下 22 个，避免 192 元打水漂</x:v>
      </x:c>
    </x:row>
    <x:row r="31">
      <x:c r="A31" s="24" t="str">
        <x:v>补齐台历最后两项</x:v>
      </x:c>
      <x:c r="B31" s="25" t="str">
        <x:v>智能日历</x:v>
      </x:c>
      <x:c r="C31" s="29" t="str">
        <x:v>28BYJ-48 + ULN2003 到货即复现自动翻页，其余材料已齐</x:v>
      </x:c>
    </x:row>
    <x:row r="32">
      <x:c r="A32" s="24" t="str">
        <x:v>低值件一次凑单</x:v>
      </x:c>
      <x:c r="B32" s="25" t="str">
        <x:v>折叠通信器</x:v>
      </x:c>
      <x:c r="C32" s="29" t="str">
        <x:v>P0 四件（ESP32 + LoRa + OLED + 键盘）合计 104 元，先跑通通信链路</x:v>
      </x:c>
    </x:row>
    <x:row r="33">
      <x:c r="A33" s="24" t="str">
        <x:v>喷罐先试水</x:v>
      </x:c>
      <x:c r="B33" s="25" t="str">
        <x:v>模型涂装 / 齐柏林飞艇</x:v>
      </x:c>
      <x:c r="C33" s="29" t="str">
        <x:v>先用 30 元喷罐验证涂装兴趣，再决定要不要上 600 元的喷笔 + 气泵</x:v>
      </x:c>
    </x:row>
    <x:row r="34">
      <x:c r="A34" s="24" t="str">
        <x:v>先出图纸再做实物</x:v>
      </x:c>
      <x:c r="B34" s="25" t="str">
        <x:v>齐柏林飞艇</x:v>
      </x:c>
      <x:c r="C34" s="29" t="str">
        <x:v>图纸 PDF 与 STL 先完成，才能按图纸裁碳棒，避免材料切错</x:v>
      </x:c>
    </x:row>
    <x:row r="35">
      <x:c r="A35" s="24" t="str">
        <x:v>先定外骨骼路线</x:v>
      </x:c>
      <x:c r="B35" s="25" t="str">
        <x:v>助力外骨骼</x:v>
      </x:c>
      <x:c r="C35" s="29" t="str">
        <x:v>无源入门（弹簧/减震器）还是舵机驱动，路线不同预算差十倍</x:v>
      </x:c>
    </x:row>
    <x:row r="36">
      <x:c r="A36" s="37" t="str">
        <x:v>本表已入库并推送</x:v>
      </x:c>
      <x:c r="B36" s="38" t="str">
        <x:v>全部项目</x:v>
      </x:c>
      <x:c r="C36" s="41" t="str">
        <x:v>以后改材料先改本表，再改线上文案；桌面副本会随仓库一起更新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5C8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14" hidden="0" customWidth="1"/>
    <x:col min="3" max="3" width="20" hidden="0" customWidth="1"/>
    <x:col min="4" max="4" width="30" hidden="0" customWidth="1"/>
    <x:col min="5" max="5" width="7" hidden="0" customWidth="1"/>
    <x:col min="6" max="6" width="6" hidden="0" customWidth="1"/>
    <x:col min="7" max="7" width="10" hidden="0" customWidth="1"/>
    <x:col min="8" max="8" width="10" hidden="0" customWidth="1"/>
    <x:col min="9" max="9" width="10" hidden="0" customWidth="1"/>
    <x:col min="10" max="10" width="13" hidden="0" customWidth="1"/>
    <x:col min="11" max="11" width="20" hidden="0" customWidth="1"/>
    <x:col min="12" max="12" width="34" hidden="0" customWidth="1"/>
  </x:cols>
  <x:sheetData>
    <x:row r="2">
      <x:c r="A2" s="1" t="str">
        <x:v>材料总表（全部 9 个 DIY 项目，共 97 条）</x:v>
      </x:c>
    </x:row>
    <x:row r="3">
      <x:c r="A3" s="2" t="str">
        <x:v>状态：已有＝手上已有或已到货；待购＝需要线上采购；废旧自制＝优先利用废料，不计成本。小计 = 数量 × 单价，合计只统计「待购」。</x:v>
      </x:c>
    </x:row>
    <x:row r="4" ht="22" customHeight="1">
      <x:c r="A4" s="21" t="str">
        <x:v>序号</x:v>
      </x:c>
      <x:c r="B4" s="22" t="str">
        <x:v>项目</x:v>
      </x:c>
      <x:c r="C4" s="22" t="str">
        <x:v>材料名称</x:v>
      </x:c>
      <x:c r="D4" s="22" t="str">
        <x:v>规格/型号</x:v>
      </x:c>
      <x:c r="E4" s="22" t="str">
        <x:v>数量</x:v>
      </x:c>
      <x:c r="F4" s="22" t="str">
        <x:v>单位</x:v>
      </x:c>
      <x:c r="G4" s="22" t="str">
        <x:v>单价（元）</x:v>
      </x:c>
      <x:c r="H4" s="22" t="str">
        <x:v>小计（元）</x:v>
      </x:c>
      <x:c r="I4" s="22" t="str">
        <x:v>状态</x:v>
      </x:c>
      <x:c r="J4" s="22" t="str">
        <x:v>采购批次</x:v>
      </x:c>
      <x:c r="K4" s="22" t="str">
        <x:v>存放位置</x:v>
      </x:c>
      <x:c r="L4" s="23" t="str">
        <x:v>备注</x:v>
      </x:c>
    </x:row>
    <x:row r="5">
      <x:c r="A5" s="24" t="n">
        <x:f>ROW()-4</x:f>
        <x:v>1</x:v>
      </x:c>
      <x:c r="B5" s="25" t="str">
        <x:v>智能日历</x:v>
      </x:c>
      <x:c r="C5" s="25" t="str">
        <x:v>主控板</x:v>
      </x:c>
      <x:c r="D5" s="25" t="str">
        <x:v>ESP32-WROOM-32 / ESP32-S3</x:v>
      </x:c>
      <x:c r="E5" s="26" t="n">
        <x:v>1</x:v>
      </x:c>
      <x:c r="F5" s="27" t="str">
        <x:v>个</x:v>
      </x:c>
      <x:c r="G5" s="28" t="n">
        <x:v>30</x:v>
      </x:c>
      <x:c r="H5" s="28" t="n">
        <x:f>IF(OR(G5="",G5=0),"",E5*G5)</x:f>
        <x:v>30</x:v>
      </x:c>
      <x:c r="I5" s="27" t="str">
        <x:v>已有</x:v>
      </x:c>
      <x:c r="J5" s="27" t="str">
        <x:v>—</x:v>
      </x:c>
      <x:c r="K5" s="25" t="str">
        <x:v>电子元件盒 A</x:v>
      </x:c>
      <x:c r="L5" s="29" t="str">
        <x:v>台历主控，已到货</x:v>
      </x:c>
    </x:row>
    <x:row r="6">
      <x:c r="A6" s="24" t="n">
        <x:f>ROW()-4</x:f>
        <x:v>2</x:v>
      </x:c>
      <x:c r="B6" s="25" t="str">
        <x:v>智能日历</x:v>
      </x:c>
      <x:c r="C6" s="25" t="str">
        <x:v>显示屏</x:v>
      </x:c>
      <x:c r="D6" s="25" t="str">
        <x:v>0.96 寸 OLED I2C SSD1306</x:v>
      </x:c>
      <x:c r="E6" s="26" t="n">
        <x:v>1</x:v>
      </x:c>
      <x:c r="F6" s="27" t="str">
        <x:v>个</x:v>
      </x:c>
      <x:c r="G6" s="28" t="n">
        <x:v>12</x:v>
      </x:c>
      <x:c r="H6" s="28" t="n">
        <x:f>IF(OR(G6="",G6=0),"",E6*G6)</x:f>
        <x:v>12</x:v>
      </x:c>
      <x:c r="I6" s="27" t="str">
        <x:v>已有</x:v>
      </x:c>
      <x:c r="J6" s="27" t="str">
        <x:v>—</x:v>
      </x:c>
      <x:c r="K6" s="25" t="str">
        <x:v>电子元件盒 A</x:v>
      </x:c>
      <x:c r="L6" s="29" t="str">
        <x:v>显示日期/温湿度/电量</x:v>
      </x:c>
    </x:row>
    <x:row r="7">
      <x:c r="A7" s="24" t="n">
        <x:f>ROW()-4</x:f>
        <x:v>3</x:v>
      </x:c>
      <x:c r="B7" s="25" t="str">
        <x:v>智能日历</x:v>
      </x:c>
      <x:c r="C7" s="25" t="str">
        <x:v>时钟模块</x:v>
      </x:c>
      <x:c r="D7" s="25" t="str">
        <x:v>DS3231 + AT24C32</x:v>
      </x:c>
      <x:c r="E7" s="26" t="n">
        <x:v>1</x:v>
      </x:c>
      <x:c r="F7" s="27" t="str">
        <x:v>个</x:v>
      </x:c>
      <x:c r="G7" s="28" t="n">
        <x:v>8</x:v>
      </x:c>
      <x:c r="H7" s="28" t="n">
        <x:f>IF(OR(G7="",G7=0),"",E7*G7)</x:f>
        <x:v>8</x:v>
      </x:c>
      <x:c r="I7" s="27" t="str">
        <x:v>已有</x:v>
      </x:c>
      <x:c r="J7" s="27" t="str">
        <x:v>—</x:v>
      </x:c>
      <x:c r="K7" s="25" t="str">
        <x:v>电子元件盒 A</x:v>
      </x:c>
      <x:c r="L7" s="29" t="str">
        <x:v>断电保持时间</x:v>
      </x:c>
    </x:row>
    <x:row r="8">
      <x:c r="A8" s="24" t="n">
        <x:f>ROW()-4</x:f>
        <x:v>4</x:v>
      </x:c>
      <x:c r="B8" s="25" t="str">
        <x:v>智能日历</x:v>
      </x:c>
      <x:c r="C8" s="25" t="str">
        <x:v>温湿度传感器</x:v>
      </x:c>
      <x:c r="D8" s="25" t="str">
        <x:v>DHT22</x:v>
      </x:c>
      <x:c r="E8" s="26" t="n">
        <x:v>1</x:v>
      </x:c>
      <x:c r="F8" s="27" t="str">
        <x:v>个</x:v>
      </x:c>
      <x:c r="G8" s="28" t="n">
        <x:v>15</x:v>
      </x:c>
      <x:c r="H8" s="28" t="n">
        <x:f>IF(OR(G8="",G8=0),"",E8*G8)</x:f>
        <x:v>15</x:v>
      </x:c>
      <x:c r="I8" s="27" t="str">
        <x:v>已有</x:v>
      </x:c>
      <x:c r="J8" s="27" t="str">
        <x:v>—</x:v>
      </x:c>
      <x:c r="K8" s="25" t="str">
        <x:v>电子元件盒 A</x:v>
      </x:c>
      <x:c r="L8" s="29" t="str">
        <x:v>环境监测</x:v>
      </x:c>
    </x:row>
    <x:row r="9">
      <x:c r="A9" s="24" t="n">
        <x:f>ROW()-4</x:f>
        <x:v>5</x:v>
      </x:c>
      <x:c r="B9" s="25" t="str">
        <x:v>智能日历</x:v>
      </x:c>
      <x:c r="C9" s="25" t="str">
        <x:v>RGB 灯珠</x:v>
      </x:c>
      <x:c r="D9" s="25" t="str">
        <x:v>WS2812B 4 位</x:v>
      </x:c>
      <x:c r="E9" s="26" t="n">
        <x:v>2</x:v>
      </x:c>
      <x:c r="F9" s="27" t="str">
        <x:v>个</x:v>
      </x:c>
      <x:c r="G9" s="28" t="n">
        <x:v>5</x:v>
      </x:c>
      <x:c r="H9" s="28" t="n">
        <x:f>IF(OR(G9="",G9=0),"",E9*G9)</x:f>
        <x:v>10</x:v>
      </x:c>
      <x:c r="I9" s="27" t="str">
        <x:v>已有</x:v>
      </x:c>
      <x:c r="J9" s="27" t="str">
        <x:v>—</x:v>
      </x:c>
      <x:c r="K9" s="25" t="str">
        <x:v>电子元件盒 A</x:v>
      </x:c>
      <x:c r="L9" s="29" t="str">
        <x:v>两个串成 8 位灯带</x:v>
      </x:c>
    </x:row>
    <x:row r="10">
      <x:c r="A10" s="24" t="n">
        <x:f>ROW()-4</x:f>
        <x:v>6</x:v>
      </x:c>
      <x:c r="B10" s="25" t="str">
        <x:v>智能日历</x:v>
      </x:c>
      <x:c r="C10" s="25" t="str">
        <x:v>升压/降压模块</x:v>
      </x:c>
      <x:c r="D10" s="25" t="str">
        <x:v>SX1308 2A 可调</x:v>
      </x:c>
      <x:c r="E10" s="26" t="n">
        <x:v>1</x:v>
      </x:c>
      <x:c r="F10" s="27" t="str">
        <x:v>个</x:v>
      </x:c>
      <x:c r="G10" s="28" t="n">
        <x:v>3</x:v>
      </x:c>
      <x:c r="H10" s="28" t="n">
        <x:f>IF(OR(G10="",G10=0),"",E10*G10)</x:f>
        <x:v>3</x:v>
      </x:c>
      <x:c r="I10" s="27" t="str">
        <x:v>已有</x:v>
      </x:c>
      <x:c r="J10" s="27" t="str">
        <x:v>—</x:v>
      </x:c>
      <x:c r="K10" s="25" t="str">
        <x:v>电子元件盒 A</x:v>
      </x:c>
      <x:c r="L10" s="29" t="str">
        <x:v>2S 7.4V 降至 5V 供 5V 总线</x:v>
      </x:c>
    </x:row>
    <x:row r="11">
      <x:c r="A11" s="24" t="n">
        <x:f>ROW()-4</x:f>
        <x:v>7</x:v>
      </x:c>
      <x:c r="B11" s="25" t="str">
        <x:v>智能日历</x:v>
      </x:c>
      <x:c r="C11" s="25" t="str">
        <x:v>充电板</x:v>
      </x:c>
      <x:c r="D11" s="25" t="str">
        <x:v>TP4056 Type-C</x:v>
      </x:c>
      <x:c r="E11" s="26" t="n">
        <x:v>1</x:v>
      </x:c>
      <x:c r="F11" s="27" t="str">
        <x:v>个</x:v>
      </x:c>
      <x:c r="G11" s="28" t="n">
        <x:v>2</x:v>
      </x:c>
      <x:c r="H11" s="28" t="n">
        <x:f>IF(OR(G11="",G11=0),"",E11*G11)</x:f>
        <x:v>2</x:v>
      </x:c>
      <x:c r="I11" s="27" t="str">
        <x:v>已有</x:v>
      </x:c>
      <x:c r="J11" s="27" t="str">
        <x:v>—</x:v>
      </x:c>
      <x:c r="K11" s="25" t="str">
        <x:v>电子元件盒 A</x:v>
      </x:c>
      <x:c r="L11" s="29" t="str">
        <x:v>给 3.7V 小电池充电，备用</x:v>
      </x:c>
    </x:row>
    <x:row r="12">
      <x:c r="A12" s="24" t="n">
        <x:f>ROW()-4</x:f>
        <x:v>8</x:v>
      </x:c>
      <x:c r="B12" s="25" t="str">
        <x:v>智能日历</x:v>
      </x:c>
      <x:c r="C12" s="25" t="str">
        <x:v>锂电池保护板</x:v>
      </x:c>
      <x:c r="D12" s="25" t="str">
        <x:v>3 串 18650 25A</x:v>
      </x:c>
      <x:c r="E12" s="26" t="n">
        <x:v>1</x:v>
      </x:c>
      <x:c r="F12" s="27" t="str">
        <x:v>个</x:v>
      </x:c>
      <x:c r="G12" s="28" t="n">
        <x:v>8</x:v>
      </x:c>
      <x:c r="H12" s="28" t="n">
        <x:f>IF(OR(G12="",G12=0),"",E12*G12)</x:f>
        <x:v>8</x:v>
      </x:c>
      <x:c r="I12" s="27" t="str">
        <x:v>已有</x:v>
      </x:c>
      <x:c r="J12" s="27" t="str">
        <x:v>—</x:v>
      </x:c>
      <x:c r="K12" s="25" t="str">
        <x:v>电子元件盒 A</x:v>
      </x:c>
      <x:c r="L12" s="29" t="str">
        <x:v>3 串保护板不匹配 2S，暂不使用</x:v>
      </x:c>
    </x:row>
    <x:row r="13">
      <x:c r="A13" s="24" t="n">
        <x:f>ROW()-4</x:f>
        <x:v>9</x:v>
      </x:c>
      <x:c r="B13" s="25" t="str">
        <x:v>智能日历</x:v>
      </x:c>
      <x:c r="C13" s="25" t="str">
        <x:v>锂电池</x:v>
      </x:c>
      <x:c r="D13" s="25" t="str">
        <x:v>2S 7.4V 900mAh（航模旧电池）</x:v>
      </x:c>
      <x:c r="E13" s="26" t="n">
        <x:v>1</x:v>
      </x:c>
      <x:c r="F13" s="27" t="str">
        <x:v>个</x:v>
      </x:c>
      <x:c r="G13" s="28" t="n">
        <x:v>0</x:v>
      </x:c>
      <x:c r="H13" s="28" t="str">
        <x:f>IF(OR(G13="",G13=0),"",E13*G13)</x:f>
      </x:c>
      <x:c r="I13" s="27" t="str">
        <x:v>已有</x:v>
      </x:c>
      <x:c r="J13" s="27" t="str">
        <x:v>—</x:v>
      </x:c>
      <x:c r="K13" s="25" t="str">
        <x:v>模型柜</x:v>
      </x:c>
      <x:c r="L13" s="29" t="str">
        <x:v>航模旧电池复用</x:v>
      </x:c>
    </x:row>
    <x:row r="14">
      <x:c r="A14" s="24" t="n">
        <x:f>ROW()-4</x:f>
        <x:v>10</x:v>
      </x:c>
      <x:c r="B14" s="25" t="str">
        <x:v>智能日历</x:v>
      </x:c>
      <x:c r="C14" s="25" t="str">
        <x:v>电阻包</x:v>
      </x:c>
      <x:c r="D14" s="25" t="str">
        <x:v>30 种 1/4W 金属膜</x:v>
      </x:c>
      <x:c r="E14" s="26" t="n">
        <x:v>1</x:v>
      </x:c>
      <x:c r="F14" s="27" t="str">
        <x:v>包</x:v>
      </x:c>
      <x:c r="G14" s="28" t="n">
        <x:v>12</x:v>
      </x:c>
      <x:c r="H14" s="28" t="n">
        <x:f>IF(OR(G14="",G14=0),"",E14*G14)</x:f>
        <x:v>12</x:v>
      </x:c>
      <x:c r="I14" s="27" t="str">
        <x:v>已有</x:v>
      </x:c>
      <x:c r="J14" s="27" t="str">
        <x:v>—</x:v>
      </x:c>
      <x:c r="K14" s="25" t="str">
        <x:v>电子元件盒 A</x:v>
      </x:c>
      <x:c r="L14" s="29" t="str">
        <x:v>分压与上拉（电量检测用）</x:v>
      </x:c>
    </x:row>
    <x:row r="15">
      <x:c r="A15" s="24" t="n">
        <x:f>ROW()-4</x:f>
        <x:v>11</x:v>
      </x:c>
      <x:c r="B15" s="25" t="str">
        <x:v>智能日历</x:v>
      </x:c>
      <x:c r="C15" s="25" t="str">
        <x:v>杜邦线与开关</x:v>
      </x:c>
      <x:c r="D15" s="25" t="str">
        <x:v>公/母杜邦线 + MSK-12D19</x:v>
      </x:c>
      <x:c r="E15" s="26" t="n">
        <x:v>1</x:v>
      </x:c>
      <x:c r="F15" s="27" t="str">
        <x:v>批</x:v>
      </x:c>
      <x:c r="G15" s="28" t="n">
        <x:v>14</x:v>
      </x:c>
      <x:c r="H15" s="28" t="n">
        <x:f>IF(OR(G15="",G15=0),"",E15*G15)</x:f>
        <x:v>14</x:v>
      </x:c>
      <x:c r="I15" s="27" t="str">
        <x:v>已有</x:v>
      </x:c>
      <x:c r="J15" s="27" t="str">
        <x:v>—</x:v>
      </x:c>
      <x:c r="K15" s="25" t="str">
        <x:v>电子元件盒 A</x:v>
      </x:c>
      <x:c r="L15" s="29" t="str">
        <x:v>模块连接与总电源</x:v>
      </x:c>
    </x:row>
    <x:row r="16">
      <x:c r="A16" s="24" t="n">
        <x:f>ROW()-4</x:f>
        <x:v>12</x:v>
      </x:c>
      <x:c r="B16" s="25" t="str">
        <x:v>智能日历</x:v>
      </x:c>
      <x:c r="C16" s="25" t="str">
        <x:v>步进电机</x:v>
      </x:c>
      <x:c r="D16" s="25" t="str">
        <x:v>28BYJ-48 5V</x:v>
      </x:c>
      <x:c r="E16" s="26" t="n">
        <x:v>1</x:v>
      </x:c>
      <x:c r="F16" s="27" t="str">
        <x:v>个</x:v>
      </x:c>
      <x:c r="G16" s="28" t="n">
        <x:v>6</x:v>
      </x:c>
      <x:c r="H16" s="28" t="n">
        <x:f>IF(OR(G16="",G16=0),"",E16*G16)</x:f>
        <x:v>6</x:v>
      </x:c>
      <x:c r="I16" s="27" t="str">
        <x:v>待购</x:v>
      </x:c>
      <x:c r="J16" s="27" t="str">
        <x:v>P0 立即采购</x:v>
      </x:c>
      <x:c r="K16" s="25" t="str">
        <x:v>电子元件盒 A</x:v>
      </x:c>
      <x:c r="L16" s="29" t="str">
        <x:v>自动翻页动力；也可从旧光驱拆</x:v>
      </x:c>
    </x:row>
    <x:row r="17">
      <x:c r="A17" s="24" t="n">
        <x:f>ROW()-4</x:f>
        <x:v>13</x:v>
      </x:c>
      <x:c r="B17" s="25" t="str">
        <x:v>智能日历</x:v>
      </x:c>
      <x:c r="C17" s="25" t="str">
        <x:v>电机驱动板</x:v>
      </x:c>
      <x:c r="D17" s="25" t="str">
        <x:v>ULN2003</x:v>
      </x:c>
      <x:c r="E17" s="26" t="n">
        <x:v>1</x:v>
      </x:c>
      <x:c r="F17" s="27" t="str">
        <x:v>个</x:v>
      </x:c>
      <x:c r="G17" s="28" t="n">
        <x:v>3</x:v>
      </x:c>
      <x:c r="H17" s="28" t="n">
        <x:f>IF(OR(G17="",G17=0),"",E17*G17)</x:f>
        <x:v>3</x:v>
      </x:c>
      <x:c r="I17" s="27" t="str">
        <x:v>待购</x:v>
      </x:c>
      <x:c r="J17" s="27" t="str">
        <x:v>P0 立即采购</x:v>
      </x:c>
      <x:c r="K17" s="25" t="str">
        <x:v>电子元件盒 A</x:v>
      </x:c>
      <x:c r="L17" s="29" t="str">
        <x:v>驱动步进电机</x:v>
      </x:c>
    </x:row>
    <x:row r="18">
      <x:c r="A18" s="24" t="n">
        <x:f>ROW()-4</x:f>
        <x:v>14</x:v>
      </x:c>
      <x:c r="B18" s="25" t="str">
        <x:v>智能日历</x:v>
      </x:c>
      <x:c r="C18" s="25" t="str">
        <x:v>月份页卡纸</x:v>
      </x:c>
      <x:c r="D18" s="25" t="str">
        <x:v>87×91mm 废旧卡纸 / 旧杂志</x:v>
      </x:c>
      <x:c r="E18" s="26" t="n">
        <x:v>13</x:v>
      </x:c>
      <x:c r="F18" s="27" t="str">
        <x:v>张</x:v>
      </x:c>
      <x:c r="G18" s="28" t="n">
        <x:v>0</x:v>
      </x:c>
      <x:c r="H18" s="28" t="str">
        <x:f>IF(OR(G18="",G18=0),"",E18*G18)</x:f>
      </x:c>
      <x:c r="I18" s="27" t="str">
        <x:v>废旧自制</x:v>
      </x:c>
      <x:c r="J18" s="27" t="str">
        <x:v>—</x:v>
      </x:c>
      <x:c r="K18" s="25" t="str">
        <x:v>材料箱（纸品）</x:v>
      </x:c>
      <x:c r="L18" s="29" t="str">
        <x:v>1 张封面 + 12 张月份页</x:v>
      </x:c>
    </x:row>
    <x:row r="19">
      <x:c r="A19" s="24" t="n">
        <x:f>ROW()-4</x:f>
        <x:v>15</x:v>
      </x:c>
      <x:c r="B19" s="25" t="str">
        <x:v>智能日历</x:v>
      </x:c>
      <x:c r="C19" s="25" t="str">
        <x:v>结构底板</x:v>
      </x:c>
      <x:c r="D19" s="25" t="str">
        <x:v>硬纸板 A5 20×15cm</x:v>
      </x:c>
      <x:c r="E19" s="26" t="n">
        <x:v>1</x:v>
      </x:c>
      <x:c r="F19" s="27" t="str">
        <x:v>张</x:v>
      </x:c>
      <x:c r="G19" s="28" t="n">
        <x:v>0</x:v>
      </x:c>
      <x:c r="H19" s="28" t="str">
        <x:f>IF(OR(G19="",G19=0),"",E19*G19)</x:f>
      </x:c>
      <x:c r="I19" s="27" t="str">
        <x:v>废旧自制</x:v>
      </x:c>
      <x:c r="J19" s="27" t="str">
        <x:v>—</x:v>
      </x:c>
      <x:c r="K19" s="25" t="str">
        <x:v>材料箱（板材）</x:v>
      </x:c>
      <x:c r="L19" s="29" t="str">
        <x:v>快递盒 / 旧挂历</x:v>
      </x:c>
    </x:row>
    <x:row r="20">
      <x:c r="A20" s="24" t="n">
        <x:f>ROW()-4</x:f>
        <x:v>16</x:v>
      </x:c>
      <x:c r="B20" s="25" t="str">
        <x:v>智能日历</x:v>
      </x:c>
      <x:c r="C20" s="25" t="str">
        <x:v>铜丝滑轨</x:v>
      </x:c>
      <x:c r="D20" s="25" t="str">
        <x:v>1.5mm / 1.0mm 单芯</x:v>
      </x:c>
      <x:c r="E20" s="26" t="n">
        <x:v>2</x:v>
      </x:c>
      <x:c r="F20" s="27" t="str">
        <x:v>米</x:v>
      </x:c>
      <x:c r="G20" s="28" t="n">
        <x:v>0</x:v>
      </x:c>
      <x:c r="H20" s="28" t="str">
        <x:f>IF(OR(G20="",G20=0),"",E20*G20)</x:f>
      </x:c>
      <x:c r="I20" s="27" t="str">
        <x:v>废旧自制</x:v>
      </x:c>
      <x:c r="J20" s="27" t="str">
        <x:v>—</x:v>
      </x:c>
      <x:c r="K20" s="25" t="str">
        <x:v>材料箱（金属）</x:v>
      </x:c>
      <x:c r="L20" s="29" t="str">
        <x:v>剥旧电线取芯，做滑轨与拨杆</x:v>
      </x:c>
    </x:row>
    <x:row r="21">
      <x:c r="A21" s="24" t="n">
        <x:f>ROW()-4</x:f>
        <x:v>17</x:v>
      </x:c>
      <x:c r="B21" s="25" t="str">
        <x:v>智能日历</x:v>
      </x:c>
      <x:c r="C21" s="25" t="str">
        <x:v>钕磁铁</x:v>
      </x:c>
      <x:c r="D21" s="25" t="str">
        <x:v>直径 5-8mm</x:v>
      </x:c>
      <x:c r="E21" s="26" t="n">
        <x:v>15</x:v>
      </x:c>
      <x:c r="F21" s="27" t="str">
        <x:v>粒</x:v>
      </x:c>
      <x:c r="G21" s="28" t="n">
        <x:v>0</x:v>
      </x:c>
      <x:c r="H21" s="28" t="str">
        <x:f>IF(OR(G21="",G21=0),"",E21*G21)</x:f>
      </x:c>
      <x:c r="I21" s="27" t="str">
        <x:v>废旧自制</x:v>
      </x:c>
      <x:c r="J21" s="27" t="str">
        <x:v>—</x:v>
      </x:c>
      <x:c r="K21" s="25" t="str">
        <x:v>材料箱（五金）</x:v>
      </x:c>
      <x:c r="L21" s="29" t="str">
        <x:v>翻页页片吸附</x:v>
      </x:c>
    </x:row>
    <x:row r="22">
      <x:c r="A22" s="24" t="n">
        <x:f>ROW()-4</x:f>
        <x:v>18</x:v>
      </x:c>
      <x:c r="B22" s="25" t="str">
        <x:v>折叠通信器</x:v>
      </x:c>
      <x:c r="C22" s="25" t="str">
        <x:v>开发板</x:v>
      </x:c>
      <x:c r="D22" s="25" t="str">
        <x:v>ESP32-WROOM-32 带 IPEX 座</x:v>
      </x:c>
      <x:c r="E22" s="26" t="n">
        <x:v>1</x:v>
      </x:c>
      <x:c r="F22" s="27" t="str">
        <x:v>个</x:v>
      </x:c>
      <x:c r="G22" s="28" t="n">
        <x:v>25</x:v>
      </x:c>
      <x:c r="H22" s="28" t="n">
        <x:f>IF(OR(G22="",G22=0),"",E22*G22)</x:f>
        <x:v>25</x:v>
      </x:c>
      <x:c r="I22" s="27" t="str">
        <x:v>待购</x:v>
      </x:c>
      <x:c r="J22" s="27" t="str">
        <x:v>P0 立即采购</x:v>
      </x:c>
      <x:c r="K22" s="25" t="str">
        <x:v>电子元件盒 B</x:v>
      </x:c>
      <x:c r="L22" s="29" t="str">
        <x:v>经济版主控</x:v>
      </x:c>
    </x:row>
    <x:row r="23">
      <x:c r="A23" s="24" t="n">
        <x:f>ROW()-4</x:f>
        <x:v>19</x:v>
      </x:c>
      <x:c r="B23" s="25" t="str">
        <x:v>折叠通信器</x:v>
      </x:c>
      <x:c r="C23" s="25" t="str">
        <x:v>LoRa 模块</x:v>
      </x:c>
      <x:c r="D23" s="25" t="str">
        <x:v>SX1278（Ra-02）</x:v>
      </x:c>
      <x:c r="E23" s="26" t="n">
        <x:v>1</x:v>
      </x:c>
      <x:c r="F23" s="27" t="str">
        <x:v>个</x:v>
      </x:c>
      <x:c r="G23" s="28" t="n">
        <x:v>25</x:v>
      </x:c>
      <x:c r="H23" s="28" t="n">
        <x:f>IF(OR(G23="",G23=0),"",E23*G23)</x:f>
        <x:v>25</x:v>
      </x:c>
      <x:c r="I23" s="27" t="str">
        <x:v>待购</x:v>
      </x:c>
      <x:c r="J23" s="27" t="str">
        <x:v>P0 立即采购</x:v>
      </x:c>
      <x:c r="K23" s="25" t="str">
        <x:v>电子元件盒 B</x:v>
      </x:c>
      <x:c r="L23" s="29" t="str">
        <x:v>远距离文本通信</x:v>
      </x:c>
    </x:row>
    <x:row r="24">
      <x:c r="A24" s="24" t="n">
        <x:f>ROW()-4</x:f>
        <x:v>20</x:v>
      </x:c>
      <x:c r="B24" s="25" t="str">
        <x:v>折叠通信器</x:v>
      </x:c>
      <x:c r="C24" s="25" t="str">
        <x:v>显示屏</x:v>
      </x:c>
      <x:c r="D24" s="25" t="str">
        <x:v>2.42 寸 OLED SSD1309 SPI 128×64</x:v>
      </x:c>
      <x:c r="E24" s="26" t="n">
        <x:v>1</x:v>
      </x:c>
      <x:c r="F24" s="27" t="str">
        <x:v>个</x:v>
      </x:c>
      <x:c r="G24" s="28" t="n">
        <x:v>50</x:v>
      </x:c>
      <x:c r="H24" s="28" t="n">
        <x:f>IF(OR(G24="",G24=0),"",E24*G24)</x:f>
        <x:v>50</x:v>
      </x:c>
      <x:c r="I24" s="27" t="str">
        <x:v>待购</x:v>
      </x:c>
      <x:c r="J24" s="27" t="str">
        <x:v>P0 立即采购</x:v>
      </x:c>
      <x:c r="K24" s="25" t="str">
        <x:v>电子元件盒 B</x:v>
      </x:c>
      <x:c r="L24" s="29" t="str">
        <x:v>中文显示核心，小屏候选字太小</x:v>
      </x:c>
    </x:row>
    <x:row r="25">
      <x:c r="A25" s="24" t="n">
        <x:f>ROW()-4</x:f>
        <x:v>21</x:v>
      </x:c>
      <x:c r="B25" s="25" t="str">
        <x:v>折叠通信器</x:v>
      </x:c>
      <x:c r="C25" s="25" t="str">
        <x:v>键盘</x:v>
      </x:c>
      <x:c r="D25" s="25" t="str">
        <x:v>4×4 薄膜矩阵键盘</x:v>
      </x:c>
      <x:c r="E25" s="26" t="n">
        <x:v>1</x:v>
      </x:c>
      <x:c r="F25" s="27" t="str">
        <x:v>个</x:v>
      </x:c>
      <x:c r="G25" s="28" t="n">
        <x:v>4</x:v>
      </x:c>
      <x:c r="H25" s="28" t="n">
        <x:f>IF(OR(G25="",G25=0),"",E25*G25)</x:f>
        <x:v>4</x:v>
      </x:c>
      <x:c r="I25" s="27" t="str">
        <x:v>待购</x:v>
      </x:c>
      <x:c r="J25" s="27" t="str">
        <x:v>P0 立即采购</x:v>
      </x:c>
      <x:c r="K25" s="25" t="str">
        <x:v>电子元件盒 B</x:v>
      </x:c>
      <x:c r="L25" s="29" t="str">
        <x:v>可升级 CardKB v1.1（约 55 元）</x:v>
      </x:c>
    </x:row>
    <x:row r="26">
      <x:c r="A26" s="24" t="n">
        <x:f>ROW()-4</x:f>
        <x:v>22</x:v>
      </x:c>
      <x:c r="B26" s="25" t="str">
        <x:v>折叠通信器</x:v>
      </x:c>
      <x:c r="C26" s="25" t="str">
        <x:v>字库芯片</x:v>
      </x:c>
      <x:c r="D26" s="25" t="str">
        <x:v>GT20L16S1Y GB2312 16×16</x:v>
      </x:c>
      <x:c r="E26" s="26" t="n">
        <x:v>1</x:v>
      </x:c>
      <x:c r="F26" s="27" t="str">
        <x:v>个</x:v>
      </x:c>
      <x:c r="G26" s="28" t="n">
        <x:v>10</x:v>
      </x:c>
      <x:c r="H26" s="28" t="n">
        <x:f>IF(OR(G26="",G26=0),"",E26*G26)</x:f>
        <x:v>10</x:v>
      </x:c>
      <x:c r="I26" s="27" t="str">
        <x:v>待购</x:v>
      </x:c>
      <x:c r="J26" s="27" t="str">
        <x:v>P1 确认后</x:v>
      </x:c>
      <x:c r="K26" s="25" t="str">
        <x:v>电子元件盒 B</x:v>
      </x:c>
      <x:c r="L26" s="29" t="str">
        <x:v>离线汉字显示</x:v>
      </x:c>
    </x:row>
    <x:row r="27">
      <x:c r="A27" s="24" t="n">
        <x:f>ROW()-4</x:f>
        <x:v>23</x:v>
      </x:c>
      <x:c r="B27" s="25" t="str">
        <x:v>折叠通信器</x:v>
      </x:c>
      <x:c r="C27" s="25" t="str">
        <x:v>锂电池</x:v>
      </x:c>
      <x:c r="D27" s="25" t="str">
        <x:v>3.7V 1000mAh 803040</x:v>
      </x:c>
      <x:c r="E27" s="26" t="n">
        <x:v>1</x:v>
      </x:c>
      <x:c r="F27" s="27" t="str">
        <x:v>个</x:v>
      </x:c>
      <x:c r="G27" s="28" t="n">
        <x:v>20</x:v>
      </x:c>
      <x:c r="H27" s="28" t="n">
        <x:f>IF(OR(G27="",G27=0),"",E27*G27)</x:f>
        <x:v>20</x:v>
      </x:c>
      <x:c r="I27" s="27" t="str">
        <x:v>待购</x:v>
      </x:c>
      <x:c r="J27" s="27" t="str">
        <x:v>P1 确认后</x:v>
      </x:c>
      <x:c r="K27" s="25" t="str">
        <x:v>电子元件盒 B</x:v>
      </x:c>
      <x:c r="L27" s="29" t="str">
        <x:v>长续航供电</x:v>
      </x:c>
    </x:row>
    <x:row r="28">
      <x:c r="A28" s="24" t="n">
        <x:f>ROW()-4</x:f>
        <x:v>24</x:v>
      </x:c>
      <x:c r="B28" s="25" t="str">
        <x:v>折叠通信器</x:v>
      </x:c>
      <x:c r="C28" s="25" t="str">
        <x:v>充放电模块</x:v>
      </x:c>
      <x:c r="D28" s="25" t="str">
        <x:v>TP4056 Type-C</x:v>
      </x:c>
      <x:c r="E28" s="26" t="n">
        <x:v>1</x:v>
      </x:c>
      <x:c r="F28" s="27" t="str">
        <x:v>个</x:v>
      </x:c>
      <x:c r="G28" s="28" t="n">
        <x:v>5</x:v>
      </x:c>
      <x:c r="H28" s="28" t="n">
        <x:f>IF(OR(G28="",G28=0),"",E28*G28)</x:f>
        <x:v>5</x:v>
      </x:c>
      <x:c r="I28" s="27" t="str">
        <x:v>待购</x:v>
      </x:c>
      <x:c r="J28" s="27" t="str">
        <x:v>P1 确认后</x:v>
      </x:c>
      <x:c r="K28" s="25" t="str">
        <x:v>电子元件盒 B</x:v>
      </x:c>
      <x:c r="L28" s="29" t="str"/>
    </x:row>
    <x:row r="29">
      <x:c r="A29" s="24" t="n">
        <x:f>ROW()-4</x:f>
        <x:v>25</x:v>
      </x:c>
      <x:c r="B29" s="25" t="str">
        <x:v>折叠通信器</x:v>
      </x:c>
      <x:c r="C29" s="25" t="str">
        <x:v>电源开关</x:v>
      </x:c>
      <x:c r="D29" s="25" t="str">
        <x:v>6×6mm 自锁</x:v>
      </x:c>
      <x:c r="E29" s="26" t="n">
        <x:v>1</x:v>
      </x:c>
      <x:c r="F29" s="27" t="str">
        <x:v>个</x:v>
      </x:c>
      <x:c r="G29" s="28" t="n">
        <x:v>0.5</x:v>
      </x:c>
      <x:c r="H29" s="28" t="n">
        <x:f>IF(OR(G29="",G29=0),"",E29*G29)</x:f>
        <x:v>0.5</x:v>
      </x:c>
      <x:c r="I29" s="27" t="str">
        <x:v>待购</x:v>
      </x:c>
      <x:c r="J29" s="27" t="str">
        <x:v>P1 确认后</x:v>
      </x:c>
      <x:c r="K29" s="25" t="str">
        <x:v>电子元件盒 B</x:v>
      </x:c>
      <x:c r="L29" s="29" t="str"/>
    </x:row>
    <x:row r="30">
      <x:c r="A30" s="24" t="n">
        <x:f>ROW()-4</x:f>
        <x:v>26</x:v>
      </x:c>
      <x:c r="B30" s="25" t="str">
        <x:v>折叠通信器</x:v>
      </x:c>
      <x:c r="C30" s="25" t="str">
        <x:v>WiFi 天线</x:v>
      </x:c>
      <x:c r="D30" s="25" t="str">
        <x:v>2.4GHz IPEX 胶棒</x:v>
      </x:c>
      <x:c r="E30" s="26" t="n">
        <x:v>1</x:v>
      </x:c>
      <x:c r="F30" s="27" t="str">
        <x:v>根</x:v>
      </x:c>
      <x:c r="G30" s="28" t="n">
        <x:v>5</x:v>
      </x:c>
      <x:c r="H30" s="28" t="n">
        <x:f>IF(OR(G30="",G30=0),"",E30*G30)</x:f>
        <x:v>5</x:v>
      </x:c>
      <x:c r="I30" s="27" t="str">
        <x:v>待购</x:v>
      </x:c>
      <x:c r="J30" s="27" t="str">
        <x:v>P1 确认后</x:v>
      </x:c>
      <x:c r="K30" s="25" t="str">
        <x:v>电子元件盒 B</x:v>
      </x:c>
      <x:c r="L30" s="29" t="str">
        <x:v>与 LoRa 天线不能共用</x:v>
      </x:c>
    </x:row>
    <x:row r="31">
      <x:c r="A31" s="24" t="n">
        <x:f>ROW()-4</x:f>
        <x:v>27</x:v>
      </x:c>
      <x:c r="B31" s="25" t="str">
        <x:v>折叠通信器</x:v>
      </x:c>
      <x:c r="C31" s="25" t="str">
        <x:v>LoRa 天线</x:v>
      </x:c>
      <x:c r="D31" s="25" t="str">
        <x:v>433MHz 胶棒</x:v>
      </x:c>
      <x:c r="E31" s="26" t="n">
        <x:v>1</x:v>
      </x:c>
      <x:c r="F31" s="27" t="str">
        <x:v>根</x:v>
      </x:c>
      <x:c r="G31" s="28" t="n">
        <x:v>10</x:v>
      </x:c>
      <x:c r="H31" s="28" t="n">
        <x:f>IF(OR(G31="",G31=0),"",E31*G31)</x:f>
        <x:v>10</x:v>
      </x:c>
      <x:c r="I31" s="27" t="str">
        <x:v>待购</x:v>
      </x:c>
      <x:c r="J31" s="27" t="str">
        <x:v>P1 确认后</x:v>
      </x:c>
      <x:c r="K31" s="25" t="str">
        <x:v>电子元件盒 B</x:v>
      </x:c>
      <x:c r="L31" s="29" t="str"/>
    </x:row>
    <x:row r="32">
      <x:c r="A32" s="24" t="n">
        <x:f>ROW()-4</x:f>
        <x:v>28</x:v>
      </x:c>
      <x:c r="B32" s="25" t="str">
        <x:v>折叠通信器</x:v>
      </x:c>
      <x:c r="C32" s="25" t="str">
        <x:v>提醒 LED</x:v>
      </x:c>
      <x:c r="D32" s="25" t="str">
        <x:v>3mm 雾面 + 220Ω 电阻</x:v>
      </x:c>
      <x:c r="E32" s="26" t="n">
        <x:v>1</x:v>
      </x:c>
      <x:c r="F32" s="27" t="str">
        <x:v>套</x:v>
      </x:c>
      <x:c r="G32" s="28" t="n">
        <x:v>0.5</x:v>
      </x:c>
      <x:c r="H32" s="28" t="n">
        <x:f>IF(OR(G32="",G32=0),"",E32*G32)</x:f>
        <x:v>0.5</x:v>
      </x:c>
      <x:c r="I32" s="27" t="str">
        <x:v>待购</x:v>
      </x:c>
      <x:c r="J32" s="27" t="str">
        <x:v>P1 确认后</x:v>
      </x:c>
      <x:c r="K32" s="25" t="str">
        <x:v>电子元件盒 B</x:v>
      </x:c>
      <x:c r="L32" s="29" t="str">
        <x:v>隐秘提醒</x:v>
      </x:c>
    </x:row>
    <x:row r="33">
      <x:c r="A33" s="24" t="n">
        <x:f>ROW()-4</x:f>
        <x:v>29</x:v>
      </x:c>
      <x:c r="B33" s="25" t="str">
        <x:v>折叠通信器</x:v>
      </x:c>
      <x:c r="C33" s="25" t="str">
        <x:v>FPC 软排线</x:v>
      </x:c>
      <x:c r="D33" s="25" t="str">
        <x:v>10cm 8P 同向</x:v>
      </x:c>
      <x:c r="E33" s="26" t="n">
        <x:v>2</x:v>
      </x:c>
      <x:c r="F33" s="27" t="str">
        <x:v>条</x:v>
      </x:c>
      <x:c r="G33" s="28" t="n">
        <x:v>3</x:v>
      </x:c>
      <x:c r="H33" s="28" t="n">
        <x:f>IF(OR(G33="",G33=0),"",E33*G33)</x:f>
        <x:v>6</x:v>
      </x:c>
      <x:c r="I33" s="27" t="str">
        <x:v>待购</x:v>
      </x:c>
      <x:c r="J33" s="27" t="str">
        <x:v>P1 确认后</x:v>
      </x:c>
      <x:c r="K33" s="25" t="str">
        <x:v>电子元件盒 B</x:v>
      </x:c>
      <x:c r="L33" s="29" t="str">
        <x:v>折叠屏连线</x:v>
      </x:c>
    </x:row>
    <x:row r="34">
      <x:c r="A34" s="24" t="n">
        <x:f>ROW()-4</x:f>
        <x:v>30</x:v>
      </x:c>
      <x:c r="B34" s="25" t="str">
        <x:v>折叠通信器</x:v>
      </x:c>
      <x:c r="C34" s="25" t="str">
        <x:v>微型合页</x:v>
      </x:c>
      <x:c r="D34" s="25" t="str">
        <x:v>10×15mm 金属/尼龙</x:v>
      </x:c>
      <x:c r="E34" s="26" t="n">
        <x:v>2</x:v>
      </x:c>
      <x:c r="F34" s="27" t="str">
        <x:v>个</x:v>
      </x:c>
      <x:c r="G34" s="28" t="n">
        <x:v>3</x:v>
      </x:c>
      <x:c r="H34" s="28" t="n">
        <x:f>IF(OR(G34="",G34=0),"",E34*G34)</x:f>
        <x:v>6</x:v>
      </x:c>
      <x:c r="I34" s="27" t="str">
        <x:v>待购</x:v>
      </x:c>
      <x:c r="J34" s="27" t="str">
        <x:v>P1 确认后</x:v>
      </x:c>
      <x:c r="K34" s="25" t="str">
        <x:v>材料箱（五金）</x:v>
      </x:c>
      <x:c r="L34" s="29" t="str">
        <x:v>折叠转轴</x:v>
      </x:c>
    </x:row>
    <x:row r="35">
      <x:c r="A35" s="24" t="n">
        <x:f>ROW()-4</x:f>
        <x:v>31</x:v>
      </x:c>
      <x:c r="B35" s="25" t="str">
        <x:v>折叠通信器</x:v>
      </x:c>
      <x:c r="C35" s="25" t="str">
        <x:v>3D 打印外壳</x:v>
      </x:c>
      <x:c r="D35" s="25" t="str">
        <x:v>PLA/PETG 约 100g</x:v>
      </x:c>
      <x:c r="E35" s="26" t="n">
        <x:v>1</x:v>
      </x:c>
      <x:c r="F35" s="27" t="str">
        <x:v>套</x:v>
      </x:c>
      <x:c r="G35" s="28" t="n">
        <x:v>15</x:v>
      </x:c>
      <x:c r="H35" s="28" t="n">
        <x:f>IF(OR(G35="",G35=0),"",E35*G35)</x:f>
        <x:v>15</x:v>
      </x:c>
      <x:c r="I35" s="27" t="str">
        <x:v>已有</x:v>
      </x:c>
      <x:c r="J35" s="27" t="str">
        <x:v>—</x:v>
      </x:c>
      <x:c r="K35" s="25" t="str">
        <x:v>3D 打印机耗材架</x:v>
      </x:c>
      <x:c r="L35" s="29" t="str">
        <x:v>上盖 + 下盖贝壳式结构</x:v>
      </x:c>
    </x:row>
    <x:row r="36">
      <x:c r="A36" s="24" t="n">
        <x:f>ROW()-4</x:f>
        <x:v>32</x:v>
      </x:c>
      <x:c r="B36" s="25" t="str">
        <x:v>折叠通信器</x:v>
      </x:c>
      <x:c r="C36" s="25" t="str">
        <x:v>螺丝螺母</x:v>
      </x:c>
      <x:c r="D36" s="25" t="str">
        <x:v>M2×6mm</x:v>
      </x:c>
      <x:c r="E36" s="26" t="n">
        <x:v>1</x:v>
      </x:c>
      <x:c r="F36" s="27" t="str">
        <x:v>套</x:v>
      </x:c>
      <x:c r="G36" s="28" t="n">
        <x:v>1</x:v>
      </x:c>
      <x:c r="H36" s="28" t="n">
        <x:f>IF(OR(G36="",G36=0),"",E36*G36)</x:f>
        <x:v>1</x:v>
      </x:c>
      <x:c r="I36" s="27" t="str">
        <x:v>待购</x:v>
      </x:c>
      <x:c r="J36" s="27" t="str">
        <x:v>P1 确认后</x:v>
      </x:c>
      <x:c r="K36" s="25" t="str">
        <x:v>材料箱（五金）</x:v>
      </x:c>
      <x:c r="L36" s="29" t="str"/>
    </x:row>
    <x:row r="37">
      <x:c r="A37" s="24" t="n">
        <x:f>ROW()-4</x:f>
        <x:v>33</x:v>
      </x:c>
      <x:c r="B37" s="25" t="str">
        <x:v>折叠通信器</x:v>
      </x:c>
      <x:c r="C37" s="25" t="str">
        <x:v>（可选）CardKB 键盘</x:v>
      </x:c>
      <x:c r="D37" s="25" t="str">
        <x:v>M5Stack CardKB v1.1（I2C）</x:v>
      </x:c>
      <x:c r="E37" s="26" t="n">
        <x:v>1</x:v>
      </x:c>
      <x:c r="F37" s="27" t="str">
        <x:v>个</x:v>
      </x:c>
      <x:c r="G37" s="28" t="n">
        <x:v>55</x:v>
      </x:c>
      <x:c r="H37" s="28" t="n">
        <x:f>IF(OR(G37="",G37=0),"",E37*G37)</x:f>
        <x:v>55</x:v>
      </x:c>
      <x:c r="I37" s="27" t="str">
        <x:v>可选</x:v>
      </x:c>
      <x:c r="J37" s="27" t="str">
        <x:v>P2 后期/可选</x:v>
      </x:c>
      <x:c r="K37" s="25" t="str">
        <x:v>电子元件盒 B</x:v>
      </x:c>
      <x:c r="L37" s="29" t="str">
        <x:v>与 4×4 键盘二选一，不计入默认预算</x:v>
      </x:c>
    </x:row>
    <x:row r="38">
      <x:c r="A38" s="24" t="n">
        <x:f>ROW()-4</x:f>
        <x:v>34</x:v>
      </x:c>
      <x:c r="B38" s="25" t="str">
        <x:v>折叠通信器</x:v>
      </x:c>
      <x:c r="C38" s="25" t="str">
        <x:v>（可选）T-Deck 旗舰版</x:v>
      </x:c>
      <x:c r="D38" s="25" t="str">
        <x:v>LILYGO T-Deck（ESP32-S3 + SX1262）</x:v>
      </x:c>
      <x:c r="E38" s="26" t="n">
        <x:v>1</x:v>
      </x:c>
      <x:c r="F38" s="27" t="str">
        <x:v>块</x:v>
      </x:c>
      <x:c r="G38" s="28" t="n">
        <x:v>350</x:v>
      </x:c>
      <x:c r="H38" s="28" t="n">
        <x:f>IF(OR(G38="",G38=0),"",E38*G38)</x:f>
        <x:v>350</x:v>
      </x:c>
      <x:c r="I38" s="27" t="str">
        <x:v>可选</x:v>
      </x:c>
      <x:c r="J38" s="27" t="str">
        <x:v>P2 后期/可选</x:v>
      </x:c>
      <x:c r="K38" s="25" t="str">
        <x:v>电子元件盒 B</x:v>
      </x:c>
      <x:c r="L38" s="29" t="str">
        <x:v>与整套自组方案二选一，整机约 350-385 元</x:v>
      </x:c>
    </x:row>
    <x:row r="39">
      <x:c r="A39" s="24" t="n">
        <x:f>ROW()-4</x:f>
        <x:v>35</x:v>
      </x:c>
      <x:c r="B39" s="25" t="str">
        <x:v>齐柏林飞艇</x:v>
      </x:c>
      <x:c r="C39" s="25" t="str">
        <x:v>骨架材料</x:v>
      </x:c>
      <x:c r="D39" s="25" t="str">
        <x:v>细碳纤维棒 直径 0.5-1.0mm（1m 装）</x:v>
      </x:c>
      <x:c r="E39" s="26" t="n">
        <x:v>1</x:v>
      </x:c>
      <x:c r="F39" s="27" t="str">
        <x:v>批</x:v>
      </x:c>
      <x:c r="G39" s="28" t="n">
        <x:v>25</x:v>
      </x:c>
      <x:c r="H39" s="28" t="n">
        <x:f>IF(OR(G39="",G39=0),"",E39*G39)</x:f>
        <x:v>25</x:v>
      </x:c>
      <x:c r="I39" s="27" t="str">
        <x:v>待购</x:v>
      </x:c>
      <x:c r="J39" s="27" t="str">
        <x:v>P1 确认后</x:v>
      </x:c>
      <x:c r="K39" s="25" t="str">
        <x:v>材料箱（管材）</x:v>
      </x:c>
      <x:c r="L39" s="29" t="str">
        <x:v>纵向龙骨 + 横向隔框，自制件约 50-80 个</x:v>
      </x:c>
    </x:row>
    <x:row r="40">
      <x:c r="A40" s="24" t="n">
        <x:f>ROW()-4</x:f>
        <x:v>36</x:v>
      </x:c>
      <x:c r="B40" s="25" t="str">
        <x:v>齐柏林飞艇</x:v>
      </x:c>
      <x:c r="C40" s="25" t="str">
        <x:v>蒙皮材料</x:v>
      </x:c>
      <x:c r="D40" s="25" t="str">
        <x:v>聚丙烯薄膜 / 薄布</x:v>
      </x:c>
      <x:c r="E40" s="26" t="n">
        <x:v>1</x:v>
      </x:c>
      <x:c r="F40" s="27" t="str">
        <x:v>批</x:v>
      </x:c>
      <x:c r="G40" s="28" t="n">
        <x:v>15</x:v>
      </x:c>
      <x:c r="H40" s="28" t="n">
        <x:f>IF(OR(G40="",G40=0),"",E40*G40)</x:f>
        <x:v>15</x:v>
      </x:c>
      <x:c r="I40" s="27" t="str">
        <x:v>待购</x:v>
      </x:c>
      <x:c r="J40" s="27" t="str">
        <x:v>P1 确认后</x:v>
      </x:c>
      <x:c r="K40" s="25" t="str">
        <x:v>材料箱（薄膜）</x:v>
      </x:c>
      <x:c r="L40" s="29" t="str">
        <x:v>先用边角料做 1:2 局部剖面试验件</x:v>
      </x:c>
    </x:row>
    <x:row r="41">
      <x:c r="A41" s="24" t="n">
        <x:f>ROW()-4</x:f>
        <x:v>37</x:v>
      </x:c>
      <x:c r="B41" s="25" t="str">
        <x:v>齐柏林飞艇</x:v>
      </x:c>
      <x:c r="C41" s="25" t="str">
        <x:v>PP 附着力促进剂</x:v>
      </x:c>
      <x:c r="D41" s="25" t="str">
        <x:v>喷罐 / 模型专用 PP 水</x:v>
      </x:c>
      <x:c r="E41" s="26" t="n">
        <x:v>1</x:v>
      </x:c>
      <x:c r="F41" s="27" t="str">
        <x:v>瓶</x:v>
      </x:c>
      <x:c r="G41" s="28" t="n">
        <x:v>40</x:v>
      </x:c>
      <x:c r="H41" s="28" t="n">
        <x:f>IF(OR(G41="",G41=0),"",E41*G41)</x:f>
        <x:v>40</x:v>
      </x:c>
      <x:c r="I41" s="27" t="str">
        <x:v>待购</x:v>
      </x:c>
      <x:c r="J41" s="27" t="str">
        <x:v>P1 确认后</x:v>
      </x:c>
      <x:c r="K41" s="25" t="str">
        <x:v>耗材盒</x:v>
      </x:c>
      <x:c r="L41" s="29" t="str">
        <x:v>不做处理 UV 胶粘不住、漆面会脱落</x:v>
      </x:c>
    </x:row>
    <x:row r="42">
      <x:c r="A42" s="24" t="n">
        <x:f>ROW()-4</x:f>
        <x:v>38</x:v>
      </x:c>
      <x:c r="B42" s="25" t="str">
        <x:v>齐柏林飞艇</x:v>
      </x:c>
      <x:c r="C42" s="25" t="str">
        <x:v>UV 固化胶</x:v>
      </x:c>
      <x:c r="D42" s="25" t="str">
        <x:v>1 支</x:v>
      </x:c>
      <x:c r="E42" s="26" t="n">
        <x:v>1</x:v>
      </x:c>
      <x:c r="F42" s="27" t="str">
        <x:v>支</x:v>
      </x:c>
      <x:c r="G42" s="28" t="n">
        <x:v>15</x:v>
      </x:c>
      <x:c r="H42" s="28" t="n">
        <x:f>IF(OR(G42="",G42=0),"",E42*G42)</x:f>
        <x:v>15</x:v>
      </x:c>
      <x:c r="I42" s="27" t="str">
        <x:v>待购</x:v>
      </x:c>
      <x:c r="J42" s="27" t="str">
        <x:v>P1 确认后</x:v>
      </x:c>
      <x:c r="K42" s="25" t="str">
        <x:v>耗材盒</x:v>
      </x:c>
      <x:c r="L42" s="29" t="str">
        <x:v>只在处理过的聚丙烯表面有可靠粘接</x:v>
      </x:c>
    </x:row>
    <x:row r="43">
      <x:c r="A43" s="24" t="n">
        <x:f>ROW()-4</x:f>
        <x:v>39</x:v>
      </x:c>
      <x:c r="B43" s="25" t="str">
        <x:v>齐柏林飞艇</x:v>
      </x:c>
      <x:c r="C43" s="25" t="str">
        <x:v>3D 打印件</x:v>
      </x:c>
      <x:c r="D43" s="25" t="str">
        <x:v>光敏树脂 / PLA</x:v>
      </x:c>
      <x:c r="E43" s="26" t="n">
        <x:v>1</x:v>
      </x:c>
      <x:c r="F43" s="27" t="str">
        <x:v>批</x:v>
      </x:c>
      <x:c r="G43" s="28" t="n">
        <x:v>30</x:v>
      </x:c>
      <x:c r="H43" s="28" t="n">
        <x:f>IF(OR(G43="",G43=0),"",E43*G43)</x:f>
        <x:v>30</x:v>
      </x:c>
      <x:c r="I43" s="27" t="str">
        <x:v>已有</x:v>
      </x:c>
      <x:c r="J43" s="27" t="str">
        <x:v>—</x:v>
      </x:c>
      <x:c r="K43" s="25" t="str">
        <x:v>3D 打印机耗材架</x:v>
      </x:c>
      <x:c r="L43" s="29" t="str">
        <x:v>发动机吊舱、驾驶舱、尾翼连接件、展示支架</x:v>
      </x:c>
    </x:row>
    <x:row r="44">
      <x:c r="A44" s="24" t="n">
        <x:f>ROW()-4</x:f>
        <x:v>40</x:v>
      </x:c>
      <x:c r="B44" s="25" t="str">
        <x:v>齐柏林飞艇</x:v>
      </x:c>
      <x:c r="C44" s="25" t="str">
        <x:v>骨架节点绑扎</x:v>
      </x:c>
      <x:c r="D44" s="25" t="str">
        <x:v>细铜丝</x:v>
      </x:c>
      <x:c r="E44" s="26" t="n">
        <x:v>1</x:v>
      </x:c>
      <x:c r="F44" s="27" t="str">
        <x:v>卷</x:v>
      </x:c>
      <x:c r="G44" s="28" t="n">
        <x:v>0</x:v>
      </x:c>
      <x:c r="H44" s="28" t="str">
        <x:f>IF(OR(G44="",G44=0),"",E44*G44)</x:f>
      </x:c>
      <x:c r="I44" s="27" t="str">
        <x:v>废旧自制</x:v>
      </x:c>
      <x:c r="J44" s="27" t="str">
        <x:v>—</x:v>
      </x:c>
      <x:c r="K44" s="25" t="str">
        <x:v>材料箱（金属）</x:v>
      </x:c>
      <x:c r="L44" s="29" t="str">
        <x:v>剥旧电线取芯</x:v>
      </x:c>
    </x:row>
    <x:row r="45">
      <x:c r="A45" s="24" t="n">
        <x:f>ROW()-4</x:f>
        <x:v>41</x:v>
      </x:c>
      <x:c r="B45" s="25" t="str">
        <x:v>齐柏林飞艇</x:v>
      </x:c>
      <x:c r="C45" s="25" t="str">
        <x:v>底漆 + 面漆</x:v>
      </x:c>
      <x:c r="D45" s="25" t="str">
        <x:v>模型底漆 + 银色面漆</x:v>
      </x:c>
      <x:c r="E45" s="26" t="n">
        <x:v>1</x:v>
      </x:c>
      <x:c r="F45" s="27" t="str">
        <x:v>套</x:v>
      </x:c>
      <x:c r="G45" s="28" t="n">
        <x:v>60</x:v>
      </x:c>
      <x:c r="H45" s="28" t="n">
        <x:f>IF(OR(G45="",G45=0),"",E45*G45)</x:f>
        <x:v>60</x:v>
      </x:c>
      <x:c r="I45" s="27" t="str">
        <x:v>待购</x:v>
      </x:c>
      <x:c r="J45" s="27" t="str">
        <x:v>P2 后期/可选</x:v>
      </x:c>
      <x:c r="K45" s="25" t="str">
        <x:v>耗材盒</x:v>
      </x:c>
      <x:c r="L45" s="29" t="str">
        <x:v>LZ127 历史涂装（银灰底 + 装饰纹样）</x:v>
      </x:c>
    </x:row>
    <x:row r="46">
      <x:c r="A46" s="24" t="n">
        <x:f>ROW()-4</x:f>
        <x:v>42</x:v>
      </x:c>
      <x:c r="B46" s="25" t="str">
        <x:v>齐柏林飞艇</x:v>
      </x:c>
      <x:c r="C46" s="25" t="str">
        <x:v>遮盖胶带 + 水贴软化剂</x:v>
      </x:c>
      <x:c r="D46" s="25" t="str">
        <x:v>1 套</x:v>
      </x:c>
      <x:c r="E46" s="26" t="n">
        <x:v>1</x:v>
      </x:c>
      <x:c r="F46" s="27" t="str">
        <x:v>套</x:v>
      </x:c>
      <x:c r="G46" s="28" t="n">
        <x:v>25</x:v>
      </x:c>
      <x:c r="H46" s="28" t="n">
        <x:f>IF(OR(G46="",G46=0),"",E46*G46)</x:f>
        <x:v>25</x:v>
      </x:c>
      <x:c r="I46" s="27" t="str">
        <x:v>待购</x:v>
      </x:c>
      <x:c r="J46" s="27" t="str">
        <x:v>P2 后期/可选</x:v>
      </x:c>
      <x:c r="K46" s="25" t="str">
        <x:v>耗材盒</x:v>
      </x:c>
      <x:c r="L46" s="29" t="str">
        <x:v>分色与贴标</x:v>
      </x:c>
    </x:row>
    <x:row r="47">
      <x:c r="A47" s="24" t="n">
        <x:f>ROW()-4</x:f>
        <x:v>43</x:v>
      </x:c>
      <x:c r="B47" s="25" t="str">
        <x:v>齐柏林飞艇</x:v>
      </x:c>
      <x:c r="C47" s="25" t="str">
        <x:v>展示底座</x:v>
      </x:c>
      <x:c r="D47" s="25" t="str">
        <x:v>木料 / 亚克力 + 铭牌</x:v>
      </x:c>
      <x:c r="E47" s="26" t="n">
        <x:v>1</x:v>
      </x:c>
      <x:c r="F47" s="27" t="str">
        <x:v>个</x:v>
      </x:c>
      <x:c r="G47" s="28" t="n">
        <x:v>40</x:v>
      </x:c>
      <x:c r="H47" s="28" t="n">
        <x:f>IF(OR(G47="",G47=0),"",E47*G47)</x:f>
        <x:v>40</x:v>
      </x:c>
      <x:c r="I47" s="27" t="str">
        <x:v>待购</x:v>
      </x:c>
      <x:c r="J47" s="27" t="str">
        <x:v>P2 后期/可选</x:v>
      </x:c>
      <x:c r="K47" s="25" t="str">
        <x:v>待定</x:v>
      </x:c>
      <x:c r="L47" s="29" t="str">
        <x:v>接触处加软垫防划漆</x:v>
      </x:c>
    </x:row>
    <x:row r="48">
      <x:c r="A48" s="24" t="n">
        <x:f>ROW()-4</x:f>
        <x:v>44</x:v>
      </x:c>
      <x:c r="B48" s="25" t="str">
        <x:v>齐柏林飞艇</x:v>
      </x:c>
      <x:c r="C48" s="25" t="str">
        <x:v>胶粘剂</x:v>
      </x:c>
      <x:c r="D48" s="25" t="str">
        <x:v>502 胶 / 环氧树脂</x:v>
      </x:c>
      <x:c r="E48" s="26" t="n">
        <x:v>1</x:v>
      </x:c>
      <x:c r="F48" s="27" t="str">
        <x:v>套</x:v>
      </x:c>
      <x:c r="G48" s="28" t="n">
        <x:v>20</x:v>
      </x:c>
      <x:c r="H48" s="28" t="n">
        <x:f>IF(OR(G48="",G48=0),"",E48*G48)</x:f>
        <x:v>20</x:v>
      </x:c>
      <x:c r="I48" s="27" t="str">
        <x:v>已有</x:v>
      </x:c>
      <x:c r="J48" s="27" t="str">
        <x:v>—</x:v>
      </x:c>
      <x:c r="K48" s="25" t="str">
        <x:v>工具柜</x:v>
      </x:c>
      <x:c r="L48" s="29" t="str">
        <x:v>碳棒与树脂件用环氧</x:v>
      </x:c>
    </x:row>
    <x:row r="49">
      <x:c r="A49" s="24" t="n">
        <x:f>ROW()-4</x:f>
        <x:v>45</x:v>
      </x:c>
      <x:c r="B49" s="25" t="str">
        <x:v>齐柏林飞艇</x:v>
      </x:c>
      <x:c r="C49" s="25" t="str">
        <x:v>砂纸</x:v>
      </x:c>
      <x:c r="D49" s="25" t="str">
        <x:v>400-2000 目</x:v>
      </x:c>
      <x:c r="E49" s="26" t="n">
        <x:v>1</x:v>
      </x:c>
      <x:c r="F49" s="27" t="str">
        <x:v>套</x:v>
      </x:c>
      <x:c r="G49" s="28" t="n">
        <x:v>15</x:v>
      </x:c>
      <x:c r="H49" s="28" t="n">
        <x:f>IF(OR(G49="",G49=0),"",E49*G49)</x:f>
        <x:v>15</x:v>
      </x:c>
      <x:c r="I49" s="27" t="str">
        <x:v>已有</x:v>
      </x:c>
      <x:c r="J49" s="27" t="str">
        <x:v>—</x:v>
      </x:c>
      <x:c r="K49" s="25" t="str">
        <x:v>工具柜</x:v>
      </x:c>
      <x:c r="L49" s="29" t="str">
        <x:v>打磨与接缝处理</x:v>
      </x:c>
    </x:row>
    <x:row r="50">
      <x:c r="A50" s="24" t="n">
        <x:f>ROW()-4</x:f>
        <x:v>46</x:v>
      </x:c>
      <x:c r="B50" s="25" t="str">
        <x:v>CL-1201</x:v>
      </x:c>
      <x:c r="C50" s="25" t="str">
        <x:v>3D 打印耗材</x:v>
      </x:c>
      <x:c r="D50" s="25" t="str">
        <x:v>PLA / PETG</x:v>
      </x:c>
      <x:c r="E50" s="26" t="n">
        <x:v>1</x:v>
      </x:c>
      <x:c r="F50" s="27" t="str">
        <x:v>批</x:v>
      </x:c>
      <x:c r="G50" s="28" t="n">
        <x:v>30</x:v>
      </x:c>
      <x:c r="H50" s="28" t="n">
        <x:f>IF(OR(G50="",G50=0),"",E50*G50)</x:f>
        <x:v>30</x:v>
      </x:c>
      <x:c r="I50" s="27" t="str">
        <x:v>已有</x:v>
      </x:c>
      <x:c r="J50" s="27" t="str">
        <x:v>—</x:v>
      </x:c>
      <x:c r="K50" s="25" t="str">
        <x:v>3D 打印机耗材架</x:v>
      </x:c>
      <x:c r="L50" s="29" t="str">
        <x:v>新月形飞翼主机体</x:v>
      </x:c>
    </x:row>
    <x:row r="51">
      <x:c r="A51" s="24" t="n">
        <x:f>ROW()-4</x:f>
        <x:v>47</x:v>
      </x:c>
      <x:c r="B51" s="25" t="str">
        <x:v>CL-1201</x:v>
      </x:c>
      <x:c r="C51" s="25" t="str">
        <x:v>建模软件</x:v>
      </x:c>
      <x:c r="D51" s="25" t="str">
        <x:v>Fusion 360 个人版 / Tinkercad</x:v>
      </x:c>
      <x:c r="E51" s="26" t="n">
        <x:v>1</x:v>
      </x:c>
      <x:c r="F51" s="27" t="str">
        <x:v>套</x:v>
      </x:c>
      <x:c r="G51" s="28" t="n">
        <x:v>0</x:v>
      </x:c>
      <x:c r="H51" s="28" t="str">
        <x:f>IF(OR(G51="",G51=0),"",E51*G51)</x:f>
      </x:c>
      <x:c r="I51" s="27" t="str">
        <x:v>已有</x:v>
      </x:c>
      <x:c r="J51" s="27" t="str">
        <x:v>—</x:v>
      </x:c>
      <x:c r="K51" s="25" t="str">
        <x:v>电脑</x:v>
      </x:c>
      <x:c r="L51" s="29" t="str">
        <x:v>概念方案阶段，免费版即可</x:v>
      </x:c>
    </x:row>
    <x:row r="52">
      <x:c r="A52" s="24" t="n">
        <x:f>ROW()-4</x:f>
        <x:v>48</x:v>
      </x:c>
      <x:c r="B52" s="25" t="str">
        <x:v>CL-1201</x:v>
      </x:c>
      <x:c r="C52" s="25" t="str">
        <x:v>结构加固材料</x:v>
      </x:c>
      <x:c r="D52" s="25" t="str">
        <x:v>铝合金方管 / 碳板（内芯）</x:v>
      </x:c>
      <x:c r="E52" s="26" t="n">
        <x:v>1</x:v>
      </x:c>
      <x:c r="F52" s="27" t="str">
        <x:v>批</x:v>
      </x:c>
      <x:c r="G52" s="28" t="str"/>
      <x:c r="H52" s="28" t="str">
        <x:f>IF(OR(G52="",G52=0),"",E52*G52)</x:f>
      </x:c>
      <x:c r="I52" s="27" t="str">
        <x:v>待购</x:v>
      </x:c>
      <x:c r="J52" s="27" t="str">
        <x:v>P2 后期/可选</x:v>
      </x:c>
      <x:c r="K52" s="25" t="str">
        <x:v>待定</x:v>
      </x:c>
      <x:c r="L52" s="29" t="str">
        <x:v>方案未定，暂不采购</x:v>
      </x:c>
    </x:row>
    <x:row r="53">
      <x:c r="A53" s="24" t="n">
        <x:f>ROW()-4</x:f>
        <x:v>49</x:v>
      </x:c>
      <x:c r="B53" s="25" t="str">
        <x:v>自动钢琴</x:v>
      </x:c>
      <x:c r="C53" s="25" t="str">
        <x:v>主控</x:v>
      </x:c>
      <x:c r="D53" s="25" t="str">
        <x:v>ESP32-WROOM-32（CH9102）</x:v>
      </x:c>
      <x:c r="E53" s="26" t="n">
        <x:v>1</x:v>
      </x:c>
      <x:c r="F53" s="27" t="str">
        <x:v>个</x:v>
      </x:c>
      <x:c r="G53" s="28" t="n">
        <x:v>30</x:v>
      </x:c>
      <x:c r="H53" s="28" t="n">
        <x:f>IF(OR(G53="",G53=0),"",E53*G53)</x:f>
        <x:v>30</x:v>
      </x:c>
      <x:c r="I53" s="27" t="str">
        <x:v>待购</x:v>
      </x:c>
      <x:c r="J53" s="27" t="str">
        <x:v>P0 立即采购</x:v>
      </x:c>
      <x:c r="K53" s="25" t="str">
        <x:v>电子元件盒 C</x:v>
      </x:c>
      <x:c r="L53" s="29" t="str">
        <x:v>管 MIDI 解析、电磁铁时序、SD、配网</x:v>
      </x:c>
    </x:row>
    <x:row r="54">
      <x:c r="A54" s="24" t="n">
        <x:f>ROW()-4</x:f>
        <x:v>50</x:v>
      </x:c>
      <x:c r="B54" s="25" t="str">
        <x:v>自动钢琴</x:v>
      </x:c>
      <x:c r="C54" s="25" t="str">
        <x:v>PWM 驱动板</x:v>
      </x:c>
      <x:c r="D54" s="25" t="str">
        <x:v>PCA9685 16 路</x:v>
      </x:c>
      <x:c r="E54" s="26" t="n">
        <x:v>2</x:v>
      </x:c>
      <x:c r="F54" s="27" t="str">
        <x:v>个</x:v>
      </x:c>
      <x:c r="G54" s="28" t="n">
        <x:v>15</x:v>
      </x:c>
      <x:c r="H54" s="28" t="n">
        <x:f>IF(OR(G54="",G54=0),"",E54*G54)</x:f>
        <x:v>30</x:v>
      </x:c>
      <x:c r="I54" s="27" t="str">
        <x:v>待购</x:v>
      </x:c>
      <x:c r="J54" s="27" t="str">
        <x:v>P0 立即采购</x:v>
      </x:c>
      <x:c r="K54" s="25" t="str">
        <x:v>电子元件盒 C</x:v>
      </x:c>
      <x:c r="L54" s="29" t="str">
        <x:v>两片级联出 24 路，第二片要焊 A0</x:v>
      </x:c>
    </x:row>
    <x:row r="55">
      <x:c r="A55" s="24" t="n">
        <x:f>ROW()-4</x:f>
        <x:v>51</x:v>
      </x:c>
      <x:c r="B55" s="25" t="str">
        <x:v>自动钢琴</x:v>
      </x:c>
      <x:c r="C55" s="25" t="str">
        <x:v>MOSFET 模块</x:v>
      </x:c>
      <x:c r="D55" s="25" t="str">
        <x:v>IRF520 四路</x:v>
      </x:c>
      <x:c r="E55" s="26" t="n">
        <x:v>6</x:v>
      </x:c>
      <x:c r="F55" s="27" t="str">
        <x:v>个</x:v>
      </x:c>
      <x:c r="G55" s="28" t="n">
        <x:v>12</x:v>
      </x:c>
      <x:c r="H55" s="28" t="n">
        <x:f>IF(OR(G55="",G55=0),"",E55*G55)</x:f>
        <x:v>72</x:v>
      </x:c>
      <x:c r="I55" s="27" t="str">
        <x:v>待购</x:v>
      </x:c>
      <x:c r="J55" s="27" t="str">
        <x:v>P0 立即采购</x:v>
      </x:c>
      <x:c r="K55" s="25" t="str">
        <x:v>电子元件盒 C</x:v>
      </x:c>
      <x:c r="L55" s="29" t="str">
        <x:v>每模块 4 路，共 24 路</x:v>
      </x:c>
    </x:row>
    <x:row r="56">
      <x:c r="A56" s="24" t="n">
        <x:f>ROW()-4</x:f>
        <x:v>52</x:v>
      </x:c>
      <x:c r="B56" s="25" t="str">
        <x:v>自动钢琴</x:v>
      </x:c>
      <x:c r="C56" s="25" t="str">
        <x:v>推拉电磁铁</x:v>
      </x:c>
      <x:c r="D56" s="25" t="str">
        <x:v>JF-0530B 12V 行程 10mm</x:v>
      </x:c>
      <x:c r="E56" s="26" t="n">
        <x:v>24</x:v>
      </x:c>
      <x:c r="F56" s="27" t="str">
        <x:v>个</x:v>
      </x:c>
      <x:c r="G56" s="28" t="n">
        <x:v>8</x:v>
      </x:c>
      <x:c r="H56" s="28" t="n">
        <x:f>IF(OR(G56="",G56=0),"",E56*G56)</x:f>
        <x:v>192</x:v>
      </x:c>
      <x:c r="I56" s="27" t="str">
        <x:v>待购</x:v>
      </x:c>
      <x:c r="J56" s="27" t="str">
        <x:v>P0 立即采购</x:v>
      </x:c>
      <x:c r="K56" s="25" t="str">
        <x:v>材料箱（执行器）</x:v>
      </x:c>
      <x:c r="L56" s="29" t="str">
        <x:v>先买 2 个做敲击测试；小计 192 元，预算大头</x:v>
      </x:c>
    </x:row>
    <x:row r="57">
      <x:c r="A57" s="24" t="n">
        <x:f>ROW()-4</x:f>
        <x:v>53</x:v>
      </x:c>
      <x:c r="B57" s="25" t="str">
        <x:v>自动钢琴</x:v>
      </x:c>
      <x:c r="C57" s="25" t="str">
        <x:v>续流二极管</x:v>
      </x:c>
      <x:c r="D57" s="25" t="str">
        <x:v>1N4007</x:v>
      </x:c>
      <x:c r="E57" s="26" t="n">
        <x:v>24</x:v>
      </x:c>
      <x:c r="F57" s="27" t="str">
        <x:v>个</x:v>
      </x:c>
      <x:c r="G57" s="28" t="n">
        <x:v>0.1</x:v>
      </x:c>
      <x:c r="H57" s="28" t="n">
        <x:f>IF(OR(G57="",G57=0),"",E57*G57)</x:f>
        <x:v>2.4000000000000004</x:v>
      </x:c>
      <x:c r="I57" s="27" t="str">
        <x:v>待购</x:v>
      </x:c>
      <x:c r="J57" s="27" t="str">
        <x:v>P1 确认后</x:v>
      </x:c>
      <x:c r="K57" s="25" t="str">
        <x:v>电子元件盒 C</x:v>
      </x:c>
      <x:c r="L57" s="29" t="str">
        <x:v>银环端必须接电磁铁正极</x:v>
      </x:c>
    </x:row>
    <x:row r="58">
      <x:c r="A58" s="24" t="n">
        <x:f>ROW()-4</x:f>
        <x:v>54</x:v>
      </x:c>
      <x:c r="B58" s="25" t="str">
        <x:v>自动钢琴</x:v>
      </x:c>
      <x:c r="C58" s="25" t="str">
        <x:v>SD 卡模块</x:v>
      </x:c>
      <x:c r="D58" s="25" t="str">
        <x:v>SPI 接口（带电平转换）</x:v>
      </x:c>
      <x:c r="E58" s="26" t="n">
        <x:v>1</x:v>
      </x:c>
      <x:c r="F58" s="27" t="str">
        <x:v>个</x:v>
      </x:c>
      <x:c r="G58" s="28" t="n">
        <x:v>8</x:v>
      </x:c>
      <x:c r="H58" s="28" t="n">
        <x:f>IF(OR(G58="",G58=0),"",E58*G58)</x:f>
        <x:v>8</x:v>
      </x:c>
      <x:c r="I58" s="27" t="str">
        <x:v>待购</x:v>
      </x:c>
      <x:c r="J58" s="27" t="str">
        <x:v>P1 确认后</x:v>
      </x:c>
      <x:c r="K58" s="25" t="str">
        <x:v>电子元件盒 C</x:v>
      </x:c>
      <x:c r="L58" s="29" t="str">
        <x:v>离线播放 MIDI</x:v>
      </x:c>
    </x:row>
    <x:row r="59">
      <x:c r="A59" s="24" t="n">
        <x:f>ROW()-4</x:f>
        <x:v>55</x:v>
      </x:c>
      <x:c r="B59" s="25" t="str">
        <x:v>自动钢琴</x:v>
      </x:c>
      <x:c r="C59" s="25" t="str">
        <x:v>MicroSD 卡</x:v>
      </x:c>
      <x:c r="D59" s="25" t="str">
        <x:v>8GB 以上 FAT32</x:v>
      </x:c>
      <x:c r="E59" s="26" t="n">
        <x:v>1</x:v>
      </x:c>
      <x:c r="F59" s="27" t="str">
        <x:v>个</x:v>
      </x:c>
      <x:c r="G59" s="28" t="n">
        <x:v>20</x:v>
      </x:c>
      <x:c r="H59" s="28" t="n">
        <x:f>IF(OR(G59="",G59=0),"",E59*G59)</x:f>
        <x:v>20</x:v>
      </x:c>
      <x:c r="I59" s="27" t="str">
        <x:v>待购</x:v>
      </x:c>
      <x:c r="J59" s="27" t="str">
        <x:v>P1 确认后</x:v>
      </x:c>
      <x:c r="K59" s="25" t="str">
        <x:v>工具柜</x:v>
      </x:c>
      <x:c r="L59" s="29" t="str">
        <x:v>存 MIDI 文件</x:v>
      </x:c>
    </x:row>
    <x:row r="60">
      <x:c r="A60" s="24" t="n">
        <x:f>ROW()-4</x:f>
        <x:v>56</x:v>
      </x:c>
      <x:c r="B60" s="25" t="str">
        <x:v>自动钢琴</x:v>
      </x:c>
      <x:c r="C60" s="25" t="str">
        <x:v>OLED 屏</x:v>
      </x:c>
      <x:c r="D60" s="25" t="str">
        <x:v>0.96 寸 I2C SSD1306</x:v>
      </x:c>
      <x:c r="E60" s="26" t="n">
        <x:v>1</x:v>
      </x:c>
      <x:c r="F60" s="27" t="str">
        <x:v>个</x:v>
      </x:c>
      <x:c r="G60" s="28" t="n">
        <x:v>15</x:v>
      </x:c>
      <x:c r="H60" s="28" t="n">
        <x:f>IF(OR(G60="",G60=0),"",E60*G60)</x:f>
        <x:v>15</x:v>
      </x:c>
      <x:c r="I60" s="27" t="str">
        <x:v>待购</x:v>
      </x:c>
      <x:c r="J60" s="27" t="str">
        <x:v>P1 确认后</x:v>
      </x:c>
      <x:c r="K60" s="25" t="str">
        <x:v>电子元件盒 C</x:v>
      </x:c>
      <x:c r="L60" s="29" t="str">
        <x:v>本地选曲与联网状态</x:v>
      </x:c>
    </x:row>
    <x:row r="61">
      <x:c r="A61" s="24" t="n">
        <x:f>ROW()-4</x:f>
        <x:v>57</x:v>
      </x:c>
      <x:c r="B61" s="25" t="str">
        <x:v>自动钢琴</x:v>
      </x:c>
      <x:c r="C61" s="25" t="str">
        <x:v>矩阵键盘</x:v>
      </x:c>
      <x:c r="D61" s="25" t="str">
        <x:v>4×4 薄膜/机械</x:v>
      </x:c>
      <x:c r="E61" s="26" t="n">
        <x:v>1</x:v>
      </x:c>
      <x:c r="F61" s="27" t="str">
        <x:v>个</x:v>
      </x:c>
      <x:c r="G61" s="28" t="n">
        <x:v>10</x:v>
      </x:c>
      <x:c r="H61" s="28" t="n">
        <x:f>IF(OR(G61="",G61=0),"",E61*G61)</x:f>
        <x:v>10</x:v>
      </x:c>
      <x:c r="I61" s="27" t="str">
        <x:v>待购</x:v>
      </x:c>
      <x:c r="J61" s="27" t="str">
        <x:v>P1 确认后</x:v>
      </x:c>
      <x:c r="K61" s="25" t="str">
        <x:v>电子元件盒 C</x:v>
      </x:c>
      <x:c r="L61" s="29" t="str">
        <x:v>播放/暂停/切曲/配网</x:v>
      </x:c>
    </x:row>
    <x:row r="62">
      <x:c r="A62" s="24" t="n">
        <x:f>ROW()-4</x:f>
        <x:v>58</x:v>
      </x:c>
      <x:c r="B62" s="25" t="str">
        <x:v>自动钢琴</x:v>
      </x:c>
      <x:c r="C62" s="25" t="str">
        <x:v>I2S 麦克风（可选）</x:v>
      </x:c>
      <x:c r="D62" s="25" t="str">
        <x:v>INMP441</x:v>
      </x:c>
      <x:c r="E62" s="26" t="n">
        <x:v>1</x:v>
      </x:c>
      <x:c r="F62" s="27" t="str">
        <x:v>个</x:v>
      </x:c>
      <x:c r="G62" s="28" t="n">
        <x:v>8</x:v>
      </x:c>
      <x:c r="H62" s="28" t="n">
        <x:f>IF(OR(G62="",G62=0),"",E62*G62)</x:f>
        <x:v>8</x:v>
      </x:c>
      <x:c r="I62" s="27" t="str">
        <x:v>待购</x:v>
      </x:c>
      <x:c r="J62" s="27" t="str">
        <x:v>P2 后期/可选</x:v>
      </x:c>
      <x:c r="K62" s="25" t="str">
        <x:v>电子元件盒 C</x:v>
      </x:c>
      <x:c r="L62" s="29" t="str">
        <x:v>语音点歌，可不买</x:v>
      </x:c>
    </x:row>
    <x:row r="63">
      <x:c r="A63" s="24" t="n">
        <x:f>ROW()-4</x:f>
        <x:v>59</x:v>
      </x:c>
      <x:c r="B63" s="25" t="str">
        <x:v>自动钢琴</x:v>
      </x:c>
      <x:c r="C63" s="25" t="str">
        <x:v>Type-C 诱骗线</x:v>
      </x:c>
      <x:c r="D63" s="25" t="str">
        <x:v>12V 固定输出 DC 头</x:v>
      </x:c>
      <x:c r="E63" s="26" t="n">
        <x:v>1</x:v>
      </x:c>
      <x:c r="F63" s="27" t="str">
        <x:v>根</x:v>
      </x:c>
      <x:c r="G63" s="28" t="n">
        <x:v>10</x:v>
      </x:c>
      <x:c r="H63" s="28" t="n">
        <x:f>IF(OR(G63="",G63=0),"",E63*G63)</x:f>
        <x:v>10</x:v>
      </x:c>
      <x:c r="I63" s="27" t="str">
        <x:v>待购</x:v>
      </x:c>
      <x:c r="J63" s="27" t="str">
        <x:v>P0 立即采购</x:v>
      </x:c>
      <x:c r="K63" s="25" t="str">
        <x:v>电子元件盒 C</x:v>
      </x:c>
      <x:c r="L63" s="29" t="str">
        <x:v>从充电宝取 12V</x:v>
      </x:c>
    </x:row>
    <x:row r="64">
      <x:c r="A64" s="24" t="n">
        <x:f>ROW()-4</x:f>
        <x:v>60</x:v>
      </x:c>
      <x:c r="B64" s="25" t="str">
        <x:v>自动钢琴</x:v>
      </x:c>
      <x:c r="C64" s="25" t="str">
        <x:v>快充充电宝</x:v>
      </x:c>
      <x:c r="D64" s="25" t="str">
        <x:v>红魔 PA0013（自有）</x:v>
      </x:c>
      <x:c r="E64" s="26" t="n">
        <x:v>1</x:v>
      </x:c>
      <x:c r="F64" s="27" t="str">
        <x:v>个</x:v>
      </x:c>
      <x:c r="G64" s="28" t="n">
        <x:v>0</x:v>
      </x:c>
      <x:c r="H64" s="28" t="str">
        <x:f>IF(OR(G64="",G64=0),"",E64*G64)</x:f>
      </x:c>
      <x:c r="I64" s="27" t="str">
        <x:v>已有</x:v>
      </x:c>
      <x:c r="J64" s="27" t="str">
        <x:v>—</x:v>
      </x:c>
      <x:c r="K64" s="25" t="str">
        <x:v>书桌抽屉</x:v>
      </x:c>
      <x:c r="L64" s="29" t="str">
        <x:v>12V 取电来源</x:v>
      </x:c>
    </x:row>
    <x:row r="65">
      <x:c r="A65" s="24" t="n">
        <x:f>ROW()-4</x:f>
        <x:v>61</x:v>
      </x:c>
      <x:c r="B65" s="25" t="str">
        <x:v>自动钢琴</x:v>
      </x:c>
      <x:c r="C65" s="25" t="str">
        <x:v>收纳兼底座</x:v>
      </x:c>
      <x:c r="D65" s="25" t="str">
        <x:v>铝合金工具箱 35×25×12cm</x:v>
      </x:c>
      <x:c r="E65" s="26" t="n">
        <x:v>1</x:v>
      </x:c>
      <x:c r="F65" s="27" t="str">
        <x:v>个</x:v>
      </x:c>
      <x:c r="G65" s="28" t="n">
        <x:v>30</x:v>
      </x:c>
      <x:c r="H65" s="28" t="n">
        <x:f>IF(OR(G65="",G65=0),"",E65*G65)</x:f>
        <x:v>30</x:v>
      </x:c>
      <x:c r="I65" s="27" t="str">
        <x:v>待购</x:v>
      </x:c>
      <x:c r="J65" s="27" t="str">
        <x:v>P1 确认后</x:v>
      </x:c>
      <x:c r="K65" s="25" t="str">
        <x:v>待定</x:v>
      </x:c>
      <x:c r="L65" s="29" t="str">
        <x:v>收纳即底座，约 1 分钟组装</x:v>
      </x:c>
    </x:row>
    <x:row r="66">
      <x:c r="A66" s="24" t="n">
        <x:f>ROW()-4</x:f>
        <x:v>62</x:v>
      </x:c>
      <x:c r="B66" s="25" t="str">
        <x:v>自动钢琴</x:v>
      </x:c>
      <x:c r="C66" s="25" t="str">
        <x:v>龙门架横梁</x:v>
      </x:c>
      <x:c r="D66" s="25" t="str">
        <x:v>2020 欧标铝型材 1 米</x:v>
      </x:c>
      <x:c r="E66" s="26" t="n">
        <x:v>2</x:v>
      </x:c>
      <x:c r="F66" s="27" t="str">
        <x:v>根</x:v>
      </x:c>
      <x:c r="G66" s="28" t="n">
        <x:v>20</x:v>
      </x:c>
      <x:c r="H66" s="28" t="n">
        <x:f>IF(OR(G66="",G66=0),"",E66*G66)</x:f>
        <x:v>40</x:v>
      </x:c>
      <x:c r="I66" s="27" t="str">
        <x:v>待购</x:v>
      </x:c>
      <x:c r="J66" s="27" t="str">
        <x:v>P1 确认后</x:v>
      </x:c>
      <x:c r="K66" s="25" t="str">
        <x:v>材料箱（型材）</x:v>
      </x:c>
      <x:c r="L66" s="29" t="str">
        <x:v>实用约 80cm / 根</x:v>
      </x:c>
    </x:row>
    <x:row r="67">
      <x:c r="A67" s="24" t="n">
        <x:f>ROW()-4</x:f>
        <x:v>63</x:v>
      </x:c>
      <x:c r="B67" s="25" t="str">
        <x:v>自动钢琴</x:v>
      </x:c>
      <x:c r="C67" s="25" t="str">
        <x:v>可伸缩支撑杆</x:v>
      </x:c>
      <x:c r="D67" s="25" t="str">
        <x:v>三脚架中轴</x:v>
      </x:c>
      <x:c r="E67" s="26" t="n">
        <x:v>2</x:v>
      </x:c>
      <x:c r="F67" s="27" t="str">
        <x:v>根</x:v>
      </x:c>
      <x:c r="G67" s="28" t="n">
        <x:v>15</x:v>
      </x:c>
      <x:c r="H67" s="28" t="n">
        <x:f>IF(OR(G67="",G67=0),"",E67*G67)</x:f>
        <x:v>30</x:v>
      </x:c>
      <x:c r="I67" s="27" t="str">
        <x:v>待购</x:v>
      </x:c>
      <x:c r="J67" s="27" t="str">
        <x:v>P1 确认后</x:v>
      </x:c>
      <x:c r="K67" s="25" t="str">
        <x:v>材料箱（型材）</x:v>
      </x:c>
      <x:c r="L67" s="29" t="str"/>
    </x:row>
    <x:row r="68">
      <x:c r="A68" s="24" t="n">
        <x:f>ROW()-4</x:f>
        <x:v>64</x:v>
      </x:c>
      <x:c r="B68" s="25" t="str">
        <x:v>自动钢琴</x:v>
      </x:c>
      <x:c r="C68" s="25" t="str">
        <x:v>底板与侧板</x:v>
      </x:c>
      <x:c r="D68" s="25" t="str">
        <x:v>亚克力板 3mm A4</x:v>
      </x:c>
      <x:c r="E68" s="26" t="n">
        <x:v>4</x:v>
      </x:c>
      <x:c r="F68" s="27" t="str">
        <x:v>张</x:v>
      </x:c>
      <x:c r="G68" s="28" t="n">
        <x:v>12</x:v>
      </x:c>
      <x:c r="H68" s="28" t="n">
        <x:f>IF(OR(G68="",G68=0),"",E68*G68)</x:f>
        <x:v>48</x:v>
      </x:c>
      <x:c r="I68" s="27" t="str">
        <x:v>待购</x:v>
      </x:c>
      <x:c r="J68" s="27" t="str">
        <x:v>P1 确认后</x:v>
      </x:c>
      <x:c r="K68" s="25" t="str">
        <x:v>材料箱（板材）</x:v>
      </x:c>
      <x:c r="L68" s="29" t="str">
        <x:v>电磁铁底座</x:v>
      </x:c>
    </x:row>
    <x:row r="69">
      <x:c r="A69" s="24" t="n">
        <x:f>ROW()-4</x:f>
        <x:v>65</x:v>
      </x:c>
      <x:c r="B69" s="25" t="str">
        <x:v>自动钢琴</x:v>
      </x:c>
      <x:c r="C69" s="25" t="str">
        <x:v>快拆角码</x:v>
      </x:c>
      <x:c r="D69" s="25" t="str">
        <x:v>2020 角码 + 蝴蝶螺母 M4</x:v>
      </x:c>
      <x:c r="E69" s="26" t="n">
        <x:v>8</x:v>
      </x:c>
      <x:c r="F69" s="27" t="str">
        <x:v>套</x:v>
      </x:c>
      <x:c r="G69" s="28" t="n">
        <x:v>2</x:v>
      </x:c>
      <x:c r="H69" s="28" t="n">
        <x:f>IF(OR(G69="",G69=0),"",E69*G69)</x:f>
        <x:v>16</x:v>
      </x:c>
      <x:c r="I69" s="27" t="str">
        <x:v>待购</x:v>
      </x:c>
      <x:c r="J69" s="27" t="str">
        <x:v>P1 确认后</x:v>
      </x:c>
      <x:c r="K69" s="25" t="str">
        <x:v>材料箱（型材）</x:v>
      </x:c>
      <x:c r="L69" s="29" t="str"/>
    </x:row>
    <x:row r="70">
      <x:c r="A70" s="24" t="n">
        <x:f>ROW()-4</x:f>
        <x:v>66</x:v>
      </x:c>
      <x:c r="B70" s="25" t="str">
        <x:v>自动钢琴</x:v>
      </x:c>
      <x:c r="C70" s="25" t="str">
        <x:v>滑块/T 型螺母</x:v>
      </x:c>
      <x:c r="D70" s="25" t="str">
        <x:v>M4</x:v>
      </x:c>
      <x:c r="E70" s="26" t="n">
        <x:v>24</x:v>
      </x:c>
      <x:c r="F70" s="27" t="str">
        <x:v>套</x:v>
      </x:c>
      <x:c r="G70" s="28" t="n">
        <x:v>0.8</x:v>
      </x:c>
      <x:c r="H70" s="28" t="n">
        <x:f>IF(OR(G70="",G70=0),"",E70*G70)</x:f>
        <x:v>19.200000000000003</x:v>
      </x:c>
      <x:c r="I70" s="27" t="str">
        <x:v>待购</x:v>
      </x:c>
      <x:c r="J70" s="27" t="str">
        <x:v>P1 确认后</x:v>
      </x:c>
      <x:c r="K70" s="25" t="str">
        <x:v>材料箱（型材）</x:v>
      </x:c>
      <x:c r="L70" s="29" t="str">
        <x:v>固定电磁铁模块</x:v>
      </x:c>
    </x:row>
    <x:row r="71">
      <x:c r="A71" s="24" t="n">
        <x:f>ROW()-4</x:f>
        <x:v>67</x:v>
      </x:c>
      <x:c r="B71" s="25" t="str">
        <x:v>自动钢琴</x:v>
      </x:c>
      <x:c r="C71" s="25" t="str">
        <x:v>磁吸固定片</x:v>
      </x:c>
      <x:c r="D71" s="25" t="str">
        <x:v>强力磁铁片 φ10mm 背胶</x:v>
      </x:c>
      <x:c r="E71" s="26" t="n">
        <x:v>48</x:v>
      </x:c>
      <x:c r="F71" s="27" t="str">
        <x:v>片</x:v>
      </x:c>
      <x:c r="G71" s="28" t="n">
        <x:v>0.3</x:v>
      </x:c>
      <x:c r="H71" s="28" t="n">
        <x:f>IF(OR(G71="",G71=0),"",E71*G71)</x:f>
        <x:v>14.399999999999999</x:v>
      </x:c>
      <x:c r="I71" s="27" t="str">
        <x:v>待购</x:v>
      </x:c>
      <x:c r="J71" s="27" t="str">
        <x:v>P1 确认后</x:v>
      </x:c>
      <x:c r="K71" s="25" t="str">
        <x:v>材料箱（五金）</x:v>
      </x:c>
      <x:c r="L71" s="29" t="str"/>
    </x:row>
    <x:row r="72">
      <x:c r="A72" s="24" t="n">
        <x:f>ROW()-4</x:f>
        <x:v>68</x:v>
      </x:c>
      <x:c r="B72" s="25" t="str">
        <x:v>自动钢琴</x:v>
      </x:c>
      <x:c r="C72" s="25" t="str">
        <x:v>电气附件</x:v>
      </x:c>
      <x:c r="D72" s="25" t="str">
        <x:v>船型开关 / DC 座 / 轻触按键</x:v>
      </x:c>
      <x:c r="E72" s="26" t="n">
        <x:v>1</x:v>
      </x:c>
      <x:c r="F72" s="27" t="str">
        <x:v>批</x:v>
      </x:c>
      <x:c r="G72" s="28" t="n">
        <x:v>9</x:v>
      </x:c>
      <x:c r="H72" s="28" t="n">
        <x:f>IF(OR(G72="",G72=0),"",E72*G72)</x:f>
        <x:v>9</x:v>
      </x:c>
      <x:c r="I72" s="27" t="str">
        <x:v>待购</x:v>
      </x:c>
      <x:c r="J72" s="27" t="str">
        <x:v>P1 确认后</x:v>
      </x:c>
      <x:c r="K72" s="25" t="str">
        <x:v>电子元件盒 C</x:v>
      </x:c>
      <x:c r="L72" s="29" t="str">
        <x:v>总电源 + 播放/暂停/切曲</x:v>
      </x:c>
    </x:row>
    <x:row r="73">
      <x:c r="A73" s="24" t="n">
        <x:f>ROW()-4</x:f>
        <x:v>69</x:v>
      </x:c>
      <x:c r="B73" s="25" t="str">
        <x:v>自动钢琴</x:v>
      </x:c>
      <x:c r="C73" s="25" t="str">
        <x:v>线材</x:v>
      </x:c>
      <x:c r="D73" s="25" t="str">
        <x:v>杜邦线 40P + 硅胶线 22AWG</x:v>
      </x:c>
      <x:c r="E73" s="26" t="n">
        <x:v>1</x:v>
      </x:c>
      <x:c r="F73" s="27" t="str">
        <x:v>批</x:v>
      </x:c>
      <x:c r="G73" s="28" t="n">
        <x:v>30</x:v>
      </x:c>
      <x:c r="H73" s="28" t="n">
        <x:f>IF(OR(G73="",G73=0),"",E73*G73)</x:f>
        <x:v>30</x:v>
      </x:c>
      <x:c r="I73" s="27" t="str">
        <x:v>待购</x:v>
      </x:c>
      <x:c r="J73" s="27" t="str">
        <x:v>P1 确认后</x:v>
      </x:c>
      <x:c r="K73" s="25" t="str">
        <x:v>材料箱（线材）</x:v>
      </x:c>
      <x:c r="L73" s="29" t="str">
        <x:v>信号线与 12V 供电</x:v>
      </x:c>
    </x:row>
    <x:row r="74">
      <x:c r="A74" s="24" t="n">
        <x:f>ROW()-4</x:f>
        <x:v>70</x:v>
      </x:c>
      <x:c r="B74" s="25" t="str">
        <x:v>助力外骨骼</x:v>
      </x:c>
      <x:c r="C74" s="25" t="str">
        <x:v>（无源路线）弹簧/减震器</x:v>
      </x:c>
      <x:c r="D74" s="25" t="str">
        <x:v>弹性元件，靠机械分担压力</x:v>
      </x:c>
      <x:c r="E74" s="26" t="n">
        <x:v>2</x:v>
      </x:c>
      <x:c r="F74" s="27" t="str">
        <x:v>套</x:v>
      </x:c>
      <x:c r="G74" s="28" t="str"/>
      <x:c r="H74" s="28" t="str">
        <x:f>IF(OR(G74="",G74=0),"",E74*G74)</x:f>
      </x:c>
      <x:c r="I74" s="27" t="str">
        <x:v>待购</x:v>
      </x:c>
      <x:c r="J74" s="27" t="str">
        <x:v>P1 确认后</x:v>
      </x:c>
      <x:c r="K74" s="25" t="str">
        <x:v>待定</x:v>
      </x:c>
      <x:c r="L74" s="29" t="str">
        <x:v>无源不涉及电子与编程，入门首选</x:v>
      </x:c>
    </x:row>
    <x:row r="75">
      <x:c r="A75" s="24" t="n">
        <x:f>ROW()-4</x:f>
        <x:v>71</x:v>
      </x:c>
      <x:c r="B75" s="25" t="str">
        <x:v>助力外骨骼</x:v>
      </x:c>
      <x:c r="C75" s="25" t="str">
        <x:v>驱动舵机</x:v>
      </x:c>
      <x:c r="D75" s="25" t="str">
        <x:v>大扭矩串行舵机 70kg·cm 以上</x:v>
      </x:c>
      <x:c r="E75" s="26" t="n">
        <x:v>2</x:v>
      </x:c>
      <x:c r="F75" s="27" t="str">
        <x:v>个</x:v>
      </x:c>
      <x:c r="G75" s="28" t="n">
        <x:v>650</x:v>
      </x:c>
      <x:c r="H75" s="28" t="n">
        <x:f>IF(OR(G75="",G75=0),"",E75*G75)</x:f>
        <x:v>1300</x:v>
      </x:c>
      <x:c r="I75" s="27" t="str">
        <x:v>待购</x:v>
      </x:c>
      <x:c r="J75" s="27" t="str">
        <x:v>P2 后期/可选</x:v>
      </x:c>
      <x:c r="K75" s="25" t="str">
        <x:v>待定</x:v>
      </x:c>
      <x:c r="L75" s="29" t="str">
        <x:v>原「高速空心杯」方案已否，改用串行舵机</x:v>
      </x:c>
    </x:row>
    <x:row r="76">
      <x:c r="A76" s="24" t="n">
        <x:f>ROW()-4</x:f>
        <x:v>72</x:v>
      </x:c>
      <x:c r="B76" s="25" t="str">
        <x:v>助力外骨骼</x:v>
      </x:c>
      <x:c r="C76" s="25" t="str">
        <x:v>主控</x:v>
      </x:c>
      <x:c r="D76" s="25" t="str">
        <x:v>Arduino Mega 2560</x:v>
      </x:c>
      <x:c r="E76" s="26" t="n">
        <x:v>1</x:v>
      </x:c>
      <x:c r="F76" s="27" t="str">
        <x:v>块</x:v>
      </x:c>
      <x:c r="G76" s="28" t="n">
        <x:v>120</x:v>
      </x:c>
      <x:c r="H76" s="28" t="n">
        <x:f>IF(OR(G76="",G76=0),"",E76*G76)</x:f>
        <x:v>120</x:v>
      </x:c>
      <x:c r="I76" s="27" t="str">
        <x:v>待购</x:v>
      </x:c>
      <x:c r="J76" s="27" t="str">
        <x:v>P2 后期/可选</x:v>
      </x:c>
      <x:c r="K76" s="25" t="str">
        <x:v>电子元件盒 D</x:v>
      </x:c>
      <x:c r="L76" s="29" t="str">
        <x:v>接口丰富，需配舵机通信转换板</x:v>
      </x:c>
    </x:row>
    <x:row r="77">
      <x:c r="A77" s="24" t="n">
        <x:f>ROW()-4</x:f>
        <x:v>73</x:v>
      </x:c>
      <x:c r="B77" s="25" t="str">
        <x:v>助力外骨骼</x:v>
      </x:c>
      <x:c r="C77" s="25" t="str">
        <x:v>舵机通信转换板</x:v>
      </x:c>
      <x:c r="D77" s="25" t="str">
        <x:v>Dynamixel 转接板</x:v>
      </x:c>
      <x:c r="E77" s="26" t="n">
        <x:v>1</x:v>
      </x:c>
      <x:c r="F77" s="27" t="str">
        <x:v>块</x:v>
      </x:c>
      <x:c r="G77" s="28" t="str"/>
      <x:c r="H77" s="28" t="str">
        <x:f>IF(OR(G77="",G77=0),"",E77*G77)</x:f>
      </x:c>
      <x:c r="I77" s="27" t="str">
        <x:v>待购</x:v>
      </x:c>
      <x:c r="J77" s="27" t="str">
        <x:v>P2 后期/可选</x:v>
      </x:c>
      <x:c r="K77" s="25" t="str">
        <x:v>电子元件盒 D</x:v>
      </x:c>
      <x:c r="L77" s="29" t="str">
        <x:v>与串行舵机配套</x:v>
      </x:c>
    </x:row>
    <x:row r="78">
      <x:c r="A78" s="24" t="n">
        <x:f>ROW()-4</x:f>
        <x:v>74</x:v>
      </x:c>
      <x:c r="B78" s="25" t="str">
        <x:v>助力外骨骼</x:v>
      </x:c>
      <x:c r="C78" s="25" t="str">
        <x:v>姿态传感器</x:v>
      </x:c>
      <x:c r="D78" s="25" t="str">
        <x:v>MPU6050 六轴</x:v>
      </x:c>
      <x:c r="E78" s="26" t="n">
        <x:v>1</x:v>
      </x:c>
      <x:c r="F78" s="27" t="str">
        <x:v>个</x:v>
      </x:c>
      <x:c r="G78" s="28" t="n">
        <x:v>20</x:v>
      </x:c>
      <x:c r="H78" s="28" t="n">
        <x:f>IF(OR(G78="",G78=0),"",E78*G78)</x:f>
        <x:v>20</x:v>
      </x:c>
      <x:c r="I78" s="27" t="str">
        <x:v>待购</x:v>
      </x:c>
      <x:c r="J78" s="27" t="str">
        <x:v>P2 后期/可选</x:v>
      </x:c>
      <x:c r="K78" s="25" t="str">
        <x:v>电子元件盒 D</x:v>
      </x:c>
      <x:c r="L78" s="29" t="str">
        <x:v>检测大腿角度</x:v>
      </x:c>
    </x:row>
    <x:row r="79">
      <x:c r="A79" s="24" t="n">
        <x:f>ROW()-4</x:f>
        <x:v>75</x:v>
      </x:c>
      <x:c r="B79" s="25" t="str">
        <x:v>助力外骨骼</x:v>
      </x:c>
      <x:c r="C79" s="25" t="str">
        <x:v>关节位置反馈</x:v>
      </x:c>
      <x:c r="D79" s="25" t="str">
        <x:v>10kΩ 电位器</x:v>
      </x:c>
      <x:c r="E79" s="26" t="n">
        <x:v>2</x:v>
      </x:c>
      <x:c r="F79" s="27" t="str">
        <x:v>个</x:v>
      </x:c>
      <x:c r="G79" s="28" t="n">
        <x:v>10</x:v>
      </x:c>
      <x:c r="H79" s="28" t="n">
        <x:f>IF(OR(G79="",G79=0),"",E79*G79)</x:f>
        <x:v>20</x:v>
      </x:c>
      <x:c r="I79" s="27" t="str">
        <x:v>待购</x:v>
      </x:c>
      <x:c r="J79" s="27" t="str">
        <x:v>P2 后期/可选</x:v>
      </x:c>
      <x:c r="K79" s="25" t="str">
        <x:v>电子元件盒 D</x:v>
      </x:c>
      <x:c r="L79" s="29" t="str">
        <x:v>反馈关节角度</x:v>
      </x:c>
    </x:row>
    <x:row r="80">
      <x:c r="A80" s="24" t="n">
        <x:f>ROW()-4</x:f>
        <x:v>76</x:v>
      </x:c>
      <x:c r="B80" s="25" t="str">
        <x:v>助力外骨骼</x:v>
      </x:c>
      <x:c r="C80" s="25" t="str">
        <x:v>3D 打印件</x:v>
      </x:c>
      <x:c r="D80" s="25" t="str">
        <x:v>PLA+ 耗材（约 200 元）</x:v>
      </x:c>
      <x:c r="E80" s="26" t="n">
        <x:v>1</x:v>
      </x:c>
      <x:c r="F80" s="27" t="str">
        <x:v>批</x:v>
      </x:c>
      <x:c r="G80" s="28" t="n">
        <x:v>200</x:v>
      </x:c>
      <x:c r="H80" s="28" t="n">
        <x:f>IF(OR(G80="",G80=0),"",E80*G80)</x:f>
        <x:v>200</x:v>
      </x:c>
      <x:c r="I80" s="27" t="str">
        <x:v>已有</x:v>
      </x:c>
      <x:c r="J80" s="27" t="str">
        <x:v>—</x:v>
      </x:c>
      <x:c r="K80" s="25" t="str">
        <x:v>3D 打印机耗材架</x:v>
      </x:c>
      <x:c r="L80" s="29" t="str">
        <x:v>PLA 受力易脆，只做单腿/单臂，勿做全身</x:v>
      </x:c>
    </x:row>
    <x:row r="81">
      <x:c r="A81" s="24" t="n">
        <x:f>ROW()-4</x:f>
        <x:v>77</x:v>
      </x:c>
      <x:c r="B81" s="25" t="str">
        <x:v>助力外骨骼</x:v>
      </x:c>
      <x:c r="C81" s="25" t="str">
        <x:v>骨架加固</x:v>
      </x:c>
      <x:c r="D81" s="25" t="str">
        <x:v>铝合金方管</x:v>
      </x:c>
      <x:c r="E81" s="26" t="n">
        <x:v>2</x:v>
      </x:c>
      <x:c r="F81" s="27" t="str">
        <x:v>根</x:v>
      </x:c>
      <x:c r="G81" s="28" t="n">
        <x:v>10</x:v>
      </x:c>
      <x:c r="H81" s="28" t="n">
        <x:f>IF(OR(G81="",G81=0),"",E81*G81)</x:f>
        <x:v>20</x:v>
      </x:c>
      <x:c r="I81" s="27" t="str">
        <x:v>待购</x:v>
      </x:c>
      <x:c r="J81" s="27" t="str">
        <x:v>P1 确认后</x:v>
      </x:c>
      <x:c r="K81" s="25" t="str">
        <x:v>材料箱（管材）</x:v>
      </x:c>
      <x:c r="L81" s="29" t="str">
        <x:v>关键应力处夹内芯</x:v>
      </x:c>
    </x:row>
    <x:row r="82">
      <x:c r="A82" s="24" t="n">
        <x:f>ROW()-4</x:f>
        <x:v>78</x:v>
      </x:c>
      <x:c r="B82" s="25" t="str">
        <x:v>助力外骨骼</x:v>
      </x:c>
      <x:c r="C82" s="25" t="str">
        <x:v>关节轴承</x:v>
      </x:c>
      <x:c r="D82" s="25" t="str">
        <x:v>法兰轴承</x:v>
      </x:c>
      <x:c r="E82" s="26" t="n">
        <x:v>4</x:v>
      </x:c>
      <x:c r="F82" s="27" t="str">
        <x:v>个</x:v>
      </x:c>
      <x:c r="G82" s="28" t="str"/>
      <x:c r="H82" s="28" t="str">
        <x:f>IF(OR(G82="",G82=0),"",E82*G82)</x:f>
      </x:c>
      <x:c r="I82" s="27" t="str">
        <x:v>待购</x:v>
      </x:c>
      <x:c r="J82" s="27" t="str">
        <x:v>P1 确认后</x:v>
      </x:c>
      <x:c r="K82" s="25" t="str">
        <x:v>材料箱（五金）</x:v>
      </x:c>
      <x:c r="L82" s="29" t="str">
        <x:v>降低关节摩擦</x:v>
      </x:c>
    </x:row>
    <x:row r="83">
      <x:c r="A83" s="24" t="n">
        <x:f>ROW()-4</x:f>
        <x:v>79</x:v>
      </x:c>
      <x:c r="B83" s="25" t="str">
        <x:v>助力外骨骼</x:v>
      </x:c>
      <x:c r="C83" s="25" t="str">
        <x:v>固定绑带</x:v>
      </x:c>
      <x:c r="D83" s="25" t="str">
        <x:v>宽腰带 / 大腿绑带</x:v>
      </x:c>
      <x:c r="E83" s="26" t="n">
        <x:v>1</x:v>
      </x:c>
      <x:c r="F83" s="27" t="str">
        <x:v>套</x:v>
      </x:c>
      <x:c r="G83" s="28" t="n">
        <x:v>50</x:v>
      </x:c>
      <x:c r="H83" s="28" t="n">
        <x:f>IF(OR(G83="",G83=0),"",E83*G83)</x:f>
        <x:v>50</x:v>
      </x:c>
      <x:c r="I83" s="27" t="str">
        <x:v>待购</x:v>
      </x:c>
      <x:c r="J83" s="27" t="str">
        <x:v>P1 确认后</x:v>
      </x:c>
      <x:c r="K83" s="25" t="str">
        <x:v>待定</x:v>
      </x:c>
      <x:c r="L83" s="29" t="str"/>
    </x:row>
    <x:row r="84">
      <x:c r="A84" s="24" t="n">
        <x:f>ROW()-4</x:f>
        <x:v>80</x:v>
      </x:c>
      <x:c r="B84" s="25" t="str">
        <x:v>助力外骨骼</x:v>
      </x:c>
      <x:c r="C84" s="25" t="str">
        <x:v>电池组</x:v>
      </x:c>
      <x:c r="D84" s="25" t="str">
        <x:v>12V 锂电池组</x:v>
      </x:c>
      <x:c r="E84" s="26" t="n">
        <x:v>1</x:v>
      </x:c>
      <x:c r="F84" s="27" t="str">
        <x:v>组</x:v>
      </x:c>
      <x:c r="G84" s="28" t="n">
        <x:v>200</x:v>
      </x:c>
      <x:c r="H84" s="28" t="n">
        <x:f>IF(OR(G84="",G84=0),"",E84*G84)</x:f>
        <x:v>200</x:v>
      </x:c>
      <x:c r="I84" s="27" t="str">
        <x:v>待购</x:v>
      </x:c>
      <x:c r="J84" s="27" t="str">
        <x:v>P2 后期/可选</x:v>
      </x:c>
      <x:c r="K84" s="25" t="str">
        <x:v>待定</x:v>
      </x:c>
      <x:c r="L84" s="29" t="str">
        <x:v>给舵机供电</x:v>
      </x:c>
    </x:row>
    <x:row r="85">
      <x:c r="A85" s="24" t="n">
        <x:f>ROW()-4</x:f>
        <x:v>81</x:v>
      </x:c>
      <x:c r="B85" s="25" t="str">
        <x:v>助力外骨骼</x:v>
      </x:c>
      <x:c r="C85" s="25" t="str">
        <x:v>紧固件</x:v>
      </x:c>
      <x:c r="D85" s="25" t="str">
        <x:v>螺丝 / 螺母 / 鱼眼轴承</x:v>
      </x:c>
      <x:c r="E85" s="26" t="n">
        <x:v>1</x:v>
      </x:c>
      <x:c r="F85" s="27" t="str">
        <x:v>批</x:v>
      </x:c>
      <x:c r="G85" s="28" t="n">
        <x:v>100</x:v>
      </x:c>
      <x:c r="H85" s="28" t="n">
        <x:f>IF(OR(G85="",G85=0),"",E85*G85)</x:f>
        <x:v>100</x:v>
      </x:c>
      <x:c r="I85" s="27" t="str">
        <x:v>待购</x:v>
      </x:c>
      <x:c r="J85" s="27" t="str">
        <x:v>P1 确认后</x:v>
      </x:c>
      <x:c r="K85" s="25" t="str">
        <x:v>材料箱（五金）</x:v>
      </x:c>
      <x:c r="L85" s="29" t="str"/>
    </x:row>
    <x:row r="86">
      <x:c r="A86" s="24" t="n">
        <x:f>ROW()-4</x:f>
        <x:v>82</x:v>
      </x:c>
      <x:c r="B86" s="25" t="str">
        <x:v>模型涂装</x:v>
      </x:c>
      <x:c r="C86" s="25" t="str">
        <x:v>喷笔</x:v>
      </x:c>
      <x:c r="D86" s="25" t="str">
        <x:v>0.3mm 双动式</x:v>
      </x:c>
      <x:c r="E86" s="26" t="n">
        <x:v>1</x:v>
      </x:c>
      <x:c r="F86" s="27" t="str">
        <x:v>支</x:v>
      </x:c>
      <x:c r="G86" s="28" t="n">
        <x:v>200</x:v>
      </x:c>
      <x:c r="H86" s="28" t="n">
        <x:f>IF(OR(G86="",G86=0),"",E86*G86)</x:f>
        <x:v>200</x:v>
      </x:c>
      <x:c r="I86" s="27" t="str">
        <x:v>待购</x:v>
      </x:c>
      <x:c r="J86" s="27" t="str">
        <x:v>P2 后期/可选</x:v>
      </x:c>
      <x:c r="K86" s="25" t="str">
        <x:v>待定</x:v>
      </x:c>
      <x:c r="L86" s="29" t="str">
        <x:v>精细涂装核心装备</x:v>
      </x:c>
    </x:row>
    <x:row r="87">
      <x:c r="A87" s="24" t="n">
        <x:f>ROW()-4</x:f>
        <x:v>83</x:v>
      </x:c>
      <x:c r="B87" s="25" t="str">
        <x:v>模型涂装</x:v>
      </x:c>
      <x:c r="C87" s="25" t="str">
        <x:v>气泵</x:v>
      </x:c>
      <x:c r="D87" s="25" t="str">
        <x:v>带储气罐（如浩盛 AF186）</x:v>
      </x:c>
      <x:c r="E87" s="26" t="n">
        <x:v>1</x:v>
      </x:c>
      <x:c r="F87" s="27" t="str">
        <x:v>台</x:v>
      </x:c>
      <x:c r="G87" s="28" t="n">
        <x:v>400</x:v>
      </x:c>
      <x:c r="H87" s="28" t="n">
        <x:f>IF(OR(G87="",G87=0),"",E87*G87)</x:f>
        <x:v>400</x:v>
      </x:c>
      <x:c r="I87" s="27" t="str">
        <x:v>待购</x:v>
      </x:c>
      <x:c r="J87" s="27" t="str">
        <x:v>P2 后期/可选</x:v>
      </x:c>
      <x:c r="K87" s="25" t="str">
        <x:v>待定</x:v>
      </x:c>
      <x:c r="L87" s="29" t="str">
        <x:v>带罐才能消除喷涂脉冲</x:v>
      </x:c>
    </x:row>
    <x:row r="88">
      <x:c r="A88" s="24" t="n">
        <x:f>ROW()-4</x:f>
        <x:v>84</x:v>
      </x:c>
      <x:c r="B88" s="25" t="str">
        <x:v>模型涂装</x:v>
      </x:c>
      <x:c r="C88" s="25" t="str">
        <x:v>油水分离器</x:v>
      </x:c>
      <x:c r="D88" s="25" t="str">
        <x:v>1 个</x:v>
      </x:c>
      <x:c r="E88" s="26" t="n">
        <x:v>1</x:v>
      </x:c>
      <x:c r="F88" s="27" t="str">
        <x:v>个</x:v>
      </x:c>
      <x:c r="G88" s="28" t="n">
        <x:v>40</x:v>
      </x:c>
      <x:c r="H88" s="28" t="n">
        <x:f>IF(OR(G88="",G88=0),"",E88*G88)</x:f>
        <x:v>40</x:v>
      </x:c>
      <x:c r="I88" s="27" t="str">
        <x:v>待购</x:v>
      </x:c>
      <x:c r="J88" s="27" t="str">
        <x:v>P2 后期/可选</x:v>
      </x:c>
      <x:c r="K88" s="25" t="str">
        <x:v>待定</x:v>
      </x:c>
      <x:c r="L88" s="29" t="str">
        <x:v>防喷水</x:v>
      </x:c>
    </x:row>
    <x:row r="89">
      <x:c r="A89" s="24" t="n">
        <x:f>ROW()-4</x:f>
        <x:v>85</x:v>
      </x:c>
      <x:c r="B89" s="25" t="str">
        <x:v>模型涂装</x:v>
      </x:c>
      <x:c r="C89" s="25" t="str">
        <x:v>模型漆</x:v>
      </x:c>
      <x:c r="D89" s="25" t="str">
        <x:v>水性 / 硝基漆</x:v>
      </x:c>
      <x:c r="E89" s="26" t="n">
        <x:v>1</x:v>
      </x:c>
      <x:c r="F89" s="27" t="str">
        <x:v>套</x:v>
      </x:c>
      <x:c r="G89" s="28" t="n">
        <x:v>150</x:v>
      </x:c>
      <x:c r="H89" s="28" t="n">
        <x:f>IF(OR(G89="",G89=0),"",E89*G89)</x:f>
        <x:v>150</x:v>
      </x:c>
      <x:c r="I89" s="27" t="str">
        <x:v>待购</x:v>
      </x:c>
      <x:c r="J89" s="27" t="str">
        <x:v>P2 后期/可选</x:v>
      </x:c>
      <x:c r="K89" s="25" t="str">
        <x:v>耗材盒</x:v>
      </x:c>
      <x:c r="L89" s="29" t="str">
        <x:v>与飞艇涂装共用</x:v>
      </x:c>
    </x:row>
    <x:row r="90">
      <x:c r="A90" s="24" t="n">
        <x:f>ROW()-4</x:f>
        <x:v>86</x:v>
      </x:c>
      <x:c r="B90" s="25" t="str">
        <x:v>模型涂装</x:v>
      </x:c>
      <x:c r="C90" s="25" t="str">
        <x:v>稀释剂与洗笔液</x:v>
      </x:c>
      <x:c r="D90" s="25" t="str">
        <x:v>1 套</x:v>
      </x:c>
      <x:c r="E90" s="26" t="n">
        <x:v>1</x:v>
      </x:c>
      <x:c r="F90" s="27" t="str">
        <x:v>套</x:v>
      </x:c>
      <x:c r="G90" s="28" t="n">
        <x:v>40</x:v>
      </x:c>
      <x:c r="H90" s="28" t="n">
        <x:f>IF(OR(G90="",G90=0),"",E90*G90)</x:f>
        <x:v>40</x:v>
      </x:c>
      <x:c r="I90" s="27" t="str">
        <x:v>待购</x:v>
      </x:c>
      <x:c r="J90" s="27" t="str">
        <x:v>P2 后期/可选</x:v>
      </x:c>
      <x:c r="K90" s="25" t="str">
        <x:v>耗材盒</x:v>
      </x:c>
      <x:c r="L90" s="29" t="str"/>
    </x:row>
    <x:row r="91">
      <x:c r="A91" s="24" t="n">
        <x:f>ROW()-4</x:f>
        <x:v>87</x:v>
      </x:c>
      <x:c r="B91" s="25" t="str">
        <x:v>模型涂装</x:v>
      </x:c>
      <x:c r="C91" s="25" t="str">
        <x:v>防护装备</x:v>
      </x:c>
      <x:c r="D91" s="25" t="str">
        <x:v>防毒面具 + 手套</x:v>
      </x:c>
      <x:c r="E91" s="26" t="n">
        <x:v>1</x:v>
      </x:c>
      <x:c r="F91" s="27" t="str">
        <x:v>套</x:v>
      </x:c>
      <x:c r="G91" s="28" t="n">
        <x:v>60</x:v>
      </x:c>
      <x:c r="H91" s="28" t="n">
        <x:f>IF(OR(G91="",G91=0),"",E91*G91)</x:f>
        <x:v>60</x:v>
      </x:c>
      <x:c r="I91" s="27" t="str">
        <x:v>待购</x:v>
      </x:c>
      <x:c r="J91" s="27" t="str">
        <x:v>P1 确认后</x:v>
      </x:c>
      <x:c r="K91" s="25" t="str">
        <x:v>待定</x:v>
      </x:c>
      <x:c r="L91" s="29" t="str">
        <x:v>必须佩戴，不可省</x:v>
      </x:c>
    </x:row>
    <x:row r="92">
      <x:c r="A92" s="24" t="n">
        <x:f>ROW()-4</x:f>
        <x:v>88</x:v>
      </x:c>
      <x:c r="B92" s="25" t="str">
        <x:v>模型涂装</x:v>
      </x:c>
      <x:c r="C92" s="25" t="str">
        <x:v>喷涂转台</x:v>
      </x:c>
      <x:c r="D92" s="25" t="str">
        <x:v>1 个</x:v>
      </x:c>
      <x:c r="E92" s="26" t="n">
        <x:v>1</x:v>
      </x:c>
      <x:c r="F92" s="27" t="str">
        <x:v>个</x:v>
      </x:c>
      <x:c r="G92" s="28" t="n">
        <x:v>40</x:v>
      </x:c>
      <x:c r="H92" s="28" t="n">
        <x:f>IF(OR(G92="",G92=0),"",E92*G92)</x:f>
        <x:v>40</x:v>
      </x:c>
      <x:c r="I92" s="27" t="str">
        <x:v>待购</x:v>
      </x:c>
      <x:c r="J92" s="27" t="str">
        <x:v>P2 后期/可选</x:v>
      </x:c>
      <x:c r="K92" s="25" t="str">
        <x:v>待定</x:v>
      </x:c>
      <x:c r="L92" s="29" t="str"/>
    </x:row>
    <x:row r="93">
      <x:c r="A93" s="24" t="n">
        <x:f>ROW()-4</x:f>
        <x:v>89</x:v>
      </x:c>
      <x:c r="B93" s="25" t="str">
        <x:v>模型涂装</x:v>
      </x:c>
      <x:c r="C93" s="25" t="str">
        <x:v>排风抽风机</x:v>
      </x:c>
      <x:c r="D93" s="25" t="str">
        <x:v>1 台</x:v>
      </x:c>
      <x:c r="E93" s="26" t="n">
        <x:v>1</x:v>
      </x:c>
      <x:c r="F93" s="27" t="str">
        <x:v>台</x:v>
      </x:c>
      <x:c r="G93" s="28" t="n">
        <x:v>100</x:v>
      </x:c>
      <x:c r="H93" s="28" t="n">
        <x:f>IF(OR(G93="",G93=0),"",E93*G93)</x:f>
        <x:v>100</x:v>
      </x:c>
      <x:c r="I93" s="27" t="str">
        <x:v>待购</x:v>
      </x:c>
      <x:c r="J93" s="27" t="str">
        <x:v>P2 后期/可选</x:v>
      </x:c>
      <x:c r="K93" s="25" t="str">
        <x:v>阳台工作台</x:v>
      </x:c>
      <x:c r="L93" s="29" t="str">
        <x:v>阳台作业更安全</x:v>
      </x:c>
    </x:row>
    <x:row r="94">
      <x:c r="A94" s="24" t="n">
        <x:f>ROW()-4</x:f>
        <x:v>90</x:v>
      </x:c>
      <x:c r="B94" s="25" t="str">
        <x:v>模型涂装</x:v>
      </x:c>
      <x:c r="C94" s="25" t="str">
        <x:v>喷罐（入门替代）</x:v>
      </x:c>
      <x:c r="D94" s="25" t="str">
        <x:v>补土用喷罐</x:v>
      </x:c>
      <x:c r="E94" s="26" t="n">
        <x:v>1</x:v>
      </x:c>
      <x:c r="F94" s="27" t="str">
        <x:v>罐</x:v>
      </x:c>
      <x:c r="G94" s="28" t="n">
        <x:v>30</x:v>
      </x:c>
      <x:c r="H94" s="28" t="n">
        <x:f>IF(OR(G94="",G94=0),"",E94*G94)</x:f>
        <x:v>30</x:v>
      </x:c>
      <x:c r="I94" s="27" t="str">
        <x:v>待购</x:v>
      </x:c>
      <x:c r="J94" s="27" t="str">
        <x:v>P0 立即采购</x:v>
      </x:c>
      <x:c r="K94" s="25" t="str">
        <x:v>待定</x:v>
      </x:c>
      <x:c r="L94" s="29" t="str">
        <x:v>先试水可只买这一项</x:v>
      </x:c>
    </x:row>
    <x:row r="95">
      <x:c r="A95" s="24" t="n">
        <x:f>ROW()-4</x:f>
        <x:v>91</x:v>
      </x:c>
      <x:c r="B95" s="25" t="str">
        <x:v>自我介绍视频</x:v>
      </x:c>
      <x:c r="C95" s="25" t="str">
        <x:v>拍摄设备</x:v>
      </x:c>
      <x:c r="D95" s="25" t="str">
        <x:v>手机 / 相机</x:v>
      </x:c>
      <x:c r="E95" s="26" t="n">
        <x:v>1</x:v>
      </x:c>
      <x:c r="F95" s="27" t="str">
        <x:v>台</x:v>
      </x:c>
      <x:c r="G95" s="28" t="n">
        <x:v>0</x:v>
      </x:c>
      <x:c r="H95" s="28" t="str">
        <x:f>IF(OR(G95="",G95=0),"",E95*G95)</x:f>
      </x:c>
      <x:c r="I95" s="27" t="str">
        <x:v>已有</x:v>
      </x:c>
      <x:c r="J95" s="27" t="str">
        <x:v>—</x:v>
      </x:c>
      <x:c r="K95" s="25" t="str">
        <x:v>—</x:v>
      </x:c>
      <x:c r="L95" s="29" t="str">
        <x:v>用现有设备即可</x:v>
      </x:c>
    </x:row>
    <x:row r="96">
      <x:c r="A96" s="24" t="n">
        <x:f>ROW()-4</x:f>
        <x:v>92</x:v>
      </x:c>
      <x:c r="B96" s="25" t="str">
        <x:v>自我介绍视频</x:v>
      </x:c>
      <x:c r="C96" s="25" t="str">
        <x:v>领夹麦克风</x:v>
      </x:c>
      <x:c r="D96" s="25" t="str">
        <x:v>有线 / 无线</x:v>
      </x:c>
      <x:c r="E96" s="26" t="n">
        <x:v>1</x:v>
      </x:c>
      <x:c r="F96" s="27" t="str">
        <x:v>个</x:v>
      </x:c>
      <x:c r="G96" s="28" t="n">
        <x:v>80</x:v>
      </x:c>
      <x:c r="H96" s="28" t="n">
        <x:f>IF(OR(G96="",G96=0),"",E96*G96)</x:f>
        <x:v>80</x:v>
      </x:c>
      <x:c r="I96" s="27" t="str">
        <x:v>待购</x:v>
      </x:c>
      <x:c r="J96" s="27" t="str">
        <x:v>P1 确认后</x:v>
      </x:c>
      <x:c r="K96" s="25" t="str">
        <x:v>待定</x:v>
      </x:c>
      <x:c r="L96" s="29" t="str">
        <x:v>旁白自己录，收音比画面重要</x:v>
      </x:c>
    </x:row>
    <x:row r="97">
      <x:c r="A97" s="24" t="n">
        <x:f>ROW()-4</x:f>
        <x:v>93</x:v>
      </x:c>
      <x:c r="B97" s="25" t="str">
        <x:v>自我介绍视频</x:v>
      </x:c>
      <x:c r="C97" s="25" t="str">
        <x:v>补光灯</x:v>
      </x:c>
      <x:c r="D97" s="25" t="str">
        <x:v>便携 LED</x:v>
      </x:c>
      <x:c r="E97" s="26" t="n">
        <x:v>1</x:v>
      </x:c>
      <x:c r="F97" s="27" t="str">
        <x:v>个</x:v>
      </x:c>
      <x:c r="G97" s="28" t="n">
        <x:v>60</x:v>
      </x:c>
      <x:c r="H97" s="28" t="n">
        <x:f>IF(OR(G97="",G97=0),"",E97*G97)</x:f>
        <x:v>60</x:v>
      </x:c>
      <x:c r="I97" s="27" t="str">
        <x:v>待购</x:v>
      </x:c>
      <x:c r="J97" s="27" t="str">
        <x:v>P1 确认后</x:v>
      </x:c>
      <x:c r="K97" s="25" t="str">
        <x:v>待定</x:v>
      </x:c>
      <x:c r="L97" s="29" t="str">
        <x:v>室内补光；也可全用自然光</x:v>
      </x:c>
    </x:row>
    <x:row r="98">
      <x:c r="A98" s="24" t="n">
        <x:f>ROW()-4</x:f>
        <x:v>94</x:v>
      </x:c>
      <x:c r="B98" s="25" t="str">
        <x:v>自我介绍视频</x:v>
      </x:c>
      <x:c r="C98" s="25" t="str">
        <x:v>三脚架 / 手机支架</x:v>
      </x:c>
      <x:c r="D98" s="25" t="str">
        <x:v>1 个</x:v>
      </x:c>
      <x:c r="E98" s="26" t="n">
        <x:v>1</x:v>
      </x:c>
      <x:c r="F98" s="27" t="str">
        <x:v>个</x:v>
      </x:c>
      <x:c r="G98" s="28" t="n">
        <x:v>40</x:v>
      </x:c>
      <x:c r="H98" s="28" t="n">
        <x:f>IF(OR(G98="",G98=0),"",E98*G98)</x:f>
        <x:v>40</x:v>
      </x:c>
      <x:c r="I98" s="27" t="str">
        <x:v>待购</x:v>
      </x:c>
      <x:c r="J98" s="27" t="str">
        <x:v>P1 确认后</x:v>
      </x:c>
      <x:c r="K98" s="25" t="str">
        <x:v>待定</x:v>
      </x:c>
      <x:c r="L98" s="29" t="str">
        <x:v>固定机位，起床镜头要用</x:v>
      </x:c>
    </x:row>
    <x:row r="99">
      <x:c r="A99" s="24" t="n">
        <x:f>ROW()-4</x:f>
        <x:v>95</x:v>
      </x:c>
      <x:c r="B99" s="25" t="str">
        <x:v>自我介绍视频</x:v>
      </x:c>
      <x:c r="C99" s="25" t="str">
        <x:v>剪辑软件</x:v>
      </x:c>
      <x:c r="D99" s="25" t="str">
        <x:v>DaVinci Resolve / 剪映</x:v>
      </x:c>
      <x:c r="E99" s="26" t="n">
        <x:v>1</x:v>
      </x:c>
      <x:c r="F99" s="27" t="str">
        <x:v>套</x:v>
      </x:c>
      <x:c r="G99" s="28" t="n">
        <x:v>0</x:v>
      </x:c>
      <x:c r="H99" s="28" t="str">
        <x:f>IF(OR(G99="",G99=0),"",E99*G99)</x:f>
      </x:c>
      <x:c r="I99" s="27" t="str">
        <x:v>已有</x:v>
      </x:c>
      <x:c r="J99" s="27" t="str">
        <x:v>—</x:v>
      </x:c>
      <x:c r="K99" s="25" t="str">
        <x:v>电脑</x:v>
      </x:c>
      <x:c r="L99" s="29" t="str">
        <x:v>免费版即可；达芬奇对显卡有要求</x:v>
      </x:c>
    </x:row>
    <x:row r="100">
      <x:c r="A100" s="24" t="n">
        <x:f>ROW()-4</x:f>
        <x:v>96</x:v>
      </x:c>
      <x:c r="B100" s="25" t="str">
        <x:v>Minecraft模组</x:v>
      </x:c>
      <x:c r="C100" s="25" t="str">
        <x:v>开发环境</x:v>
      </x:c>
      <x:c r="D100" s="25" t="str">
        <x:v>IDEA + Forge MDK</x:v>
      </x:c>
      <x:c r="E100" s="26" t="n">
        <x:v>1</x:v>
      </x:c>
      <x:c r="F100" s="27" t="str">
        <x:v>套</x:v>
      </x:c>
      <x:c r="G100" s="28" t="n">
        <x:v>0</x:v>
      </x:c>
      <x:c r="H100" s="28" t="str">
        <x:f>IF(OR(G100="",G100=0),"",E100*G100)</x:f>
      </x:c>
      <x:c r="I100" s="27" t="str">
        <x:v>无需采购</x:v>
      </x:c>
      <x:c r="J100" s="27" t="str">
        <x:v>—</x:v>
      </x:c>
      <x:c r="K100" s="25" t="str">
        <x:v>电脑</x:v>
      </x:c>
      <x:c r="L100" s="29" t="str">
        <x:v>建议 Forge 1.20.1，生态最全</x:v>
      </x:c>
    </x:row>
    <x:row r="101">
      <x:c r="A101" s="24" t="n">
        <x:f>ROW()-4</x:f>
        <x:v>97</x:v>
      </x:c>
      <x:c r="B101" s="25" t="str">
        <x:v>Minecraft模组</x:v>
      </x:c>
      <x:c r="C101" s="25" t="str">
        <x:v>实物材料</x:v>
      </x:c>
      <x:c r="D101" s="25" t="str">
        <x:v>纯软件项目</x:v>
      </x:c>
      <x:c r="E101" s="26" t="n">
        <x:v>0</x:v>
      </x:c>
      <x:c r="F101" s="27" t="str">
        <x:v>—</x:v>
      </x:c>
      <x:c r="G101" s="28" t="n">
        <x:v>0</x:v>
      </x:c>
      <x:c r="H101" s="28" t="str">
        <x:f>IF(OR(G101="",G101=0),"",E101*G101)</x:f>
      </x:c>
      <x:c r="I101" s="27" t="str">
        <x:v>无需采购</x:v>
      </x:c>
      <x:c r="J101" s="27" t="str">
        <x:v>—</x:v>
      </x:c>
      <x:c r="K101" s="25" t="str">
        <x:v>—</x:v>
      </x:c>
      <x:c r="L101" s="29" t="str">
        <x:v>不需要实物材料</x:v>
      </x:c>
    </x:row>
    <x:row r="102">
      <x:c r="A102" s="30" t="str">
        <x:v>合计</x:v>
      </x:c>
      <x:c r="B102" s="31"/>
      <x:c r="C102" s="31"/>
      <x:c r="D102" s="31"/>
      <x:c r="E102" s="31"/>
      <x:c r="F102" s="31"/>
      <x:c r="G102" s="31" t="str">
        <x:v>待购预算</x:v>
      </x:c>
      <x:c r="H102" s="32" t="e">
        <x:f>SUMIF(材料总表!$I$5:$I$101,"待购",材料总表!$H$5:$H$101)</x:f>
        <x:v>#NAME?</x:v>
      </x:c>
      <x:c r="I102" s="33" t="e">
        <x:f>COUNTIF(材料总表!$I$5:$I$101,"待购")&amp;" 项待购"</x:f>
        <x:v>#NAME?</x:v>
      </x:c>
      <x:c r="J102" s="33" t="e">
        <x:f>COUNTIF(材料总表!$J$5:$J$101,"P0 立即采购")&amp;" 项立即采购"</x:f>
        <x:v>#NAME?</x:v>
      </x:c>
      <x:c r="K102" s="31"/>
      <x:c r="L102" s="34"/>
    </x:row>
  </x:sheetData>
  <x:conditionalFormatting sqref="I5:I101">
    <x:cfRule type="containsText" dxfId="0" priority="1" operator="containsText" text="待购"/>
  </x:conditionalFormatting>
  <x:dataValidations count="2">
    <x:dataValidation type="list" sqref="I5:I101">
      <x:formula1>"已有,待购,废旧自制,无需采购,可选"</x:formula1>
    </x:dataValidation>
    <x:dataValidation type="list" sqref="J5:J101">
      <x:formula1>"P0 立即采购,P1 确认后,P2 后期/可选,—"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E5C8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</x:cols>
  <x:sheetData>
    <x:row r="2">
      <x:c r="A2" s="1" t="str">
        <x:v>分项预算（按项目汇总，公式自动更新）</x:v>
      </x:c>
    </x:row>
    <x:row r="3">
      <x:c r="A3" s="2" t="str">
        <x:v>待购金额只统计「待购」状态；备注标「含待估项」的项目落地前需要补价。</x:v>
      </x:c>
    </x:row>
    <x:row r="4" ht="22" customHeight="1">
      <x:c r="A4" s="21" t="str">
        <x:v>项目</x:v>
      </x:c>
      <x:c r="B4" s="22" t="str">
        <x:v>材料条目</x:v>
      </x:c>
      <x:c r="C4" s="22" t="str">
        <x:v>待购条目</x:v>
      </x:c>
      <x:c r="D4" s="22" t="str">
        <x:v>待购金额（元）</x:v>
      </x:c>
      <x:c r="E4" s="23" t="str">
        <x:v>备注</x:v>
      </x:c>
    </x:row>
    <x:row r="5">
      <x:c r="A5" s="24" t="str">
        <x:v>智能日历</x:v>
      </x:c>
      <x:c r="B5" s="28" t="e">
        <x:f>COUNTIF(材料总表!$B$5:$B$101,$A5)</x:f>
        <x:v>#NAME?</x:v>
      </x:c>
      <x:c r="C5" s="28" t="e">
        <x:f>COUNTIFS(材料总表!$B$5:$B$101,$A5,材料总表!$I$5:$I$101,"待购")</x:f>
        <x:v>#NAME?</x:v>
      </x:c>
      <x:c r="D5" s="28" t="e">
        <x:f>SUMIFS(材料总表!$H$5:$H$101,材料总表!$B$5:$B$101,$A5,材料总表!$I$5:$I$101,"待购")</x:f>
        <x:v>#NAME?</x:v>
      </x:c>
      <x:c r="E5" s="29" t="str"/>
    </x:row>
    <x:row r="6">
      <x:c r="A6" s="24" t="str">
        <x:v>折叠通信器</x:v>
      </x:c>
      <x:c r="B6" s="28" t="e">
        <x:f>COUNTIF(材料总表!$B$5:$B$101,$A6)</x:f>
        <x:v>#NAME?</x:v>
      </x:c>
      <x:c r="C6" s="28" t="e">
        <x:f>COUNTIFS(材料总表!$B$5:$B$101,$A6,材料总表!$I$5:$I$101,"待购")</x:f>
        <x:v>#NAME?</x:v>
      </x:c>
      <x:c r="D6" s="28" t="e">
        <x:f>SUMIFS(材料总表!$H$5:$H$101,材料总表!$B$5:$B$101,$A6,材料总表!$I$5:$I$101,"待购")</x:f>
        <x:v>#NAME?</x:v>
      </x:c>
      <x:c r="E6" s="29" t="str"/>
    </x:row>
    <x:row r="7">
      <x:c r="A7" s="24" t="str">
        <x:v>齐柏林飞艇</x:v>
      </x:c>
      <x:c r="B7" s="28" t="e">
        <x:f>COUNTIF(材料总表!$B$5:$B$101,$A7)</x:f>
        <x:v>#NAME?</x:v>
      </x:c>
      <x:c r="C7" s="28" t="e">
        <x:f>COUNTIFS(材料总表!$B$5:$B$101,$A7,材料总表!$I$5:$I$101,"待购")</x:f>
        <x:v>#NAME?</x:v>
      </x:c>
      <x:c r="D7" s="28" t="e">
        <x:f>SUMIFS(材料总表!$H$5:$H$101,材料总表!$B$5:$B$101,$A7,材料总表!$I$5:$I$101,"待购")</x:f>
        <x:v>#NAME?</x:v>
      </x:c>
      <x:c r="E7" s="29" t="str"/>
    </x:row>
    <x:row r="8">
      <x:c r="A8" s="24" t="str">
        <x:v>CL-1201</x:v>
      </x:c>
      <x:c r="B8" s="28" t="e">
        <x:f>COUNTIF(材料总表!$B$5:$B$101,$A8)</x:f>
        <x:v>#NAME?</x:v>
      </x:c>
      <x:c r="C8" s="28" t="e">
        <x:f>COUNTIFS(材料总表!$B$5:$B$101,$A8,材料总表!$I$5:$I$101,"待购")</x:f>
        <x:v>#NAME?</x:v>
      </x:c>
      <x:c r="D8" s="28" t="e">
        <x:f>SUMIFS(材料总表!$H$5:$H$101,材料总表!$B$5:$B$101,$A8,材料总表!$I$5:$I$101,"待购")</x:f>
        <x:v>#NAME?</x:v>
      </x:c>
      <x:c r="E8" s="29" t="str">
        <x:v>含待估项</x:v>
      </x:c>
    </x:row>
    <x:row r="9">
      <x:c r="A9" s="24" t="str">
        <x:v>自动钢琴</x:v>
      </x:c>
      <x:c r="B9" s="28" t="e">
        <x:f>COUNTIF(材料总表!$B$5:$B$101,$A9)</x:f>
        <x:v>#NAME?</x:v>
      </x:c>
      <x:c r="C9" s="28" t="e">
        <x:f>COUNTIFS(材料总表!$B$5:$B$101,$A9,材料总表!$I$5:$I$101,"待购")</x:f>
        <x:v>#NAME?</x:v>
      </x:c>
      <x:c r="D9" s="28" t="e">
        <x:f>SUMIFS(材料总表!$H$5:$H$101,材料总表!$B$5:$B$101,$A9,材料总表!$I$5:$I$101,"待购")</x:f>
        <x:v>#NAME?</x:v>
      </x:c>
      <x:c r="E9" s="29" t="str"/>
    </x:row>
    <x:row r="10">
      <x:c r="A10" s="24" t="str">
        <x:v>助力外骨骼</x:v>
      </x:c>
      <x:c r="B10" s="28" t="e">
        <x:f>COUNTIF(材料总表!$B$5:$B$101,$A10)</x:f>
        <x:v>#NAME?</x:v>
      </x:c>
      <x:c r="C10" s="28" t="e">
        <x:f>COUNTIFS(材料总表!$B$5:$B$101,$A10,材料总表!$I$5:$I$101,"待购")</x:f>
        <x:v>#NAME?</x:v>
      </x:c>
      <x:c r="D10" s="28" t="e">
        <x:f>SUMIFS(材料总表!$H$5:$H$101,材料总表!$B$5:$B$101,$A10,材料总表!$I$5:$I$101,"待购")</x:f>
        <x:v>#NAME?</x:v>
      </x:c>
      <x:c r="E10" s="29" t="str">
        <x:v>含待估项</x:v>
      </x:c>
    </x:row>
    <x:row r="11">
      <x:c r="A11" s="24" t="str">
        <x:v>模型涂装</x:v>
      </x:c>
      <x:c r="B11" s="28" t="e">
        <x:f>COUNTIF(材料总表!$B$5:$B$101,$A11)</x:f>
        <x:v>#NAME?</x:v>
      </x:c>
      <x:c r="C11" s="28" t="e">
        <x:f>COUNTIFS(材料总表!$B$5:$B$101,$A11,材料总表!$I$5:$I$101,"待购")</x:f>
        <x:v>#NAME?</x:v>
      </x:c>
      <x:c r="D11" s="28" t="e">
        <x:f>SUMIFS(材料总表!$H$5:$H$101,材料总表!$B$5:$B$101,$A11,材料总表!$I$5:$I$101,"待购")</x:f>
        <x:v>#NAME?</x:v>
      </x:c>
      <x:c r="E11" s="29" t="str"/>
    </x:row>
    <x:row r="12">
      <x:c r="A12" s="24" t="str">
        <x:v>自我介绍视频</x:v>
      </x:c>
      <x:c r="B12" s="28" t="e">
        <x:f>COUNTIF(材料总表!$B$5:$B$101,$A12)</x:f>
        <x:v>#NAME?</x:v>
      </x:c>
      <x:c r="C12" s="28" t="e">
        <x:f>COUNTIFS(材料总表!$B$5:$B$101,$A12,材料总表!$I$5:$I$101,"待购")</x:f>
        <x:v>#NAME?</x:v>
      </x:c>
      <x:c r="D12" s="28" t="e">
        <x:f>SUMIFS(材料总表!$H$5:$H$101,材料总表!$B$5:$B$101,$A12,材料总表!$I$5:$I$101,"待购")</x:f>
        <x:v>#NAME?</x:v>
      </x:c>
      <x:c r="E12" s="29" t="str"/>
    </x:row>
    <x:row r="13">
      <x:c r="A13" s="24" t="str">
        <x:v>Minecraft模组</x:v>
      </x:c>
      <x:c r="B13" s="28" t="e">
        <x:f>COUNTIF(材料总表!$B$5:$B$101,$A13)</x:f>
        <x:v>#NAME?</x:v>
      </x:c>
      <x:c r="C13" s="28" t="e">
        <x:f>COUNTIFS(材料总表!$B$5:$B$101,$A13,材料总表!$I$5:$I$101,"待购")</x:f>
        <x:v>#NAME?</x:v>
      </x:c>
      <x:c r="D13" s="28" t="e">
        <x:f>SUMIFS(材料总表!$H$5:$H$101,材料总表!$B$5:$B$101,$A13,材料总表!$I$5:$I$101,"待购")</x:f>
        <x:v>#NAME?</x:v>
      </x:c>
      <x:c r="E13" s="29" t="str"/>
    </x:row>
    <x:row r="14">
      <x:c r="A14" s="30" t="str">
        <x:v>合计</x:v>
      </x:c>
      <x:c r="B14" s="32" t="e">
        <x:f>SUM(B5:B13)</x:f>
        <x:v>#NAME?</x:v>
      </x:c>
      <x:c r="C14" s="32" t="e">
        <x:f>SUM(C5:C13)</x:f>
        <x:v>#NAME?</x:v>
      </x:c>
      <x:c r="D14" s="32" t="e">
        <x:f>SUM(D5:D13)</x:f>
        <x:v>#NAME?</x:v>
      </x:c>
      <x:c r="E14" s="3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E5C8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8" hidden="0" customWidth="1"/>
    <x:col min="3" max="3" width="8" hidden="0" customWidth="1"/>
    <x:col min="4" max="4" width="11" hidden="0" customWidth="1"/>
    <x:col min="5" max="5" width="16" hidden="0" customWidth="1"/>
    <x:col min="6" max="6" width="30" hidden="0" customWidth="1"/>
    <x:col min="7" max="7" width="30" hidden="0" customWidth="1"/>
  </x:cols>
  <x:sheetData>
    <x:row r="2">
      <x:c r="A2" s="1" t="str">
        <x:v>工具与设备台账</x:v>
      </x:c>
    </x:row>
    <x:row r="3">
      <x:c r="A3" s="2" t="str">
        <x:v>工具为多项目共用，属一次性投入，不计入单个项目材料成本。状态列标注「已有」或「待购」。</x:v>
      </x:c>
    </x:row>
    <x:row r="4" ht="22" customHeight="1">
      <x:c r="A4" s="21" t="str">
        <x:v>工具/设备</x:v>
      </x:c>
      <x:c r="B4" s="22" t="str">
        <x:v>用途</x:v>
      </x:c>
      <x:c r="C4" s="22" t="str">
        <x:v>状态</x:v>
      </x:c>
      <x:c r="D4" s="22" t="str">
        <x:v>参考价（元）</x:v>
      </x:c>
      <x:c r="E4" s="22" t="str">
        <x:v>存放位置</x:v>
      </x:c>
      <x:c r="F4" s="22" t="str">
        <x:v>涉及项目</x:v>
      </x:c>
      <x:c r="G4" s="23" t="str">
        <x:v>备注</x:v>
      </x:c>
    </x:row>
    <x:row r="5">
      <x:c r="A5" s="24" t="str">
        <x:v>电烙铁 + 焊锡 + 助焊剂</x:v>
      </x:c>
      <x:c r="B5" s="25" t="str">
        <x:v>焊接电路与导线</x:v>
      </x:c>
      <x:c r="C5" s="27" t="str">
        <x:v>已有</x:v>
      </x:c>
      <x:c r="D5" s="36" t="n">
        <x:v>60</x:v>
      </x:c>
      <x:c r="E5" s="25" t="str">
        <x:v>工具柜</x:v>
      </x:c>
      <x:c r="F5" s="25" t="str">
        <x:v>台历、通信器、自动钢琴</x:v>
      </x:c>
      <x:c r="G5" s="29" t="str"/>
    </x:row>
    <x:row r="6">
      <x:c r="A6" s="24" t="str">
        <x:v>万用表</x:v>
      </x:c>
      <x:c r="B6" s="25" t="str">
        <x:v>电压、通断与调压测量</x:v>
      </x:c>
      <x:c r="C6" s="27" t="str">
        <x:v>已有</x:v>
      </x:c>
      <x:c r="D6" s="36" t="n">
        <x:v>80</x:v>
      </x:c>
      <x:c r="E6" s="25" t="str">
        <x:v>工具柜</x:v>
      </x:c>
      <x:c r="F6" s="25" t="str">
        <x:v>全部电子项目</x:v>
      </x:c>
      <x:c r="G6" s="29" t="str">
        <x:v>旧表曾受腐蚀，用前先校对</x:v>
      </x:c>
    </x:row>
    <x:row r="7">
      <x:c r="A7" s="24" t="str">
        <x:v>热熔胶枪</x:v>
      </x:c>
      <x:c r="B7" s="25" t="str">
        <x:v>结构与线材固定</x:v>
      </x:c>
      <x:c r="C7" s="27" t="str">
        <x:v>已有</x:v>
      </x:c>
      <x:c r="D7" s="36" t="n">
        <x:v>30</x:v>
      </x:c>
      <x:c r="E7" s="25" t="str">
        <x:v>工具柜</x:v>
      </x:c>
      <x:c r="F7" s="25" t="str">
        <x:v>台历、自动钢琴</x:v>
      </x:c>
      <x:c r="G7" s="29" t="str"/>
    </x:row>
    <x:row r="8">
      <x:c r="A8" s="24" t="str">
        <x:v>3D 打印机（FDM）</x:v>
      </x:c>
      <x:c r="B8" s="25" t="str">
        <x:v>打印外壳与精密零件</x:v>
      </x:c>
      <x:c r="C8" s="27" t="str">
        <x:v>已有</x:v>
      </x:c>
      <x:c r="D8" s="36" t="n">
        <x:v>1200</x:v>
      </x:c>
      <x:c r="E8" s="25" t="str">
        <x:v>工作台</x:v>
      </x:c>
      <x:c r="F8" s="25" t="str">
        <x:v>通信器、飞艇、CL-1201、外骨骼</x:v>
      </x:c>
      <x:c r="G8" s="29" t="str">
        <x:v>飞艇吊舱建议树脂或高精度 PLA</x:v>
      </x:c>
    </x:row>
    <x:row r="9">
      <x:c r="A9" s="24" t="str">
        <x:v>3D 打印耗材</x:v>
      </x:c>
      <x:c r="B9" s="25" t="str">
        <x:v>PLA / PETG / 光敏树脂</x:v>
      </x:c>
      <x:c r="C9" s="27" t="str">
        <x:v>已有</x:v>
      </x:c>
      <x:c r="D9" s="36" t="n">
        <x:v>200</x:v>
      </x:c>
      <x:c r="E9" s="25" t="str">
        <x:v>3D 打印机耗材架</x:v>
      </x:c>
      <x:c r="F9" s="25" t="str">
        <x:v>全部 3D 打印项目</x:v>
      </x:c>
      <x:c r="G9" s="29" t="str">
        <x:v>常用耗材按批补货</x:v>
      </x:c>
    </x:row>
    <x:row r="10">
      <x:c r="A10" s="24" t="str">
        <x:v>3D 建模软件</x:v>
      </x:c>
      <x:c r="B10" s="25" t="str">
        <x:v>Tinkercad / Fusion 360 个人版</x:v>
      </x:c>
      <x:c r="C10" s="27" t="str">
        <x:v>已有</x:v>
      </x:c>
      <x:c r="D10" s="36" t="n">
        <x:v>0</x:v>
      </x:c>
      <x:c r="E10" s="25" t="str">
        <x:v>电脑</x:v>
      </x:c>
      <x:c r="F10" s="25" t="str">
        <x:v>通信器、飞艇、CL-1201、外骨骼</x:v>
      </x:c>
      <x:c r="G10" s="29" t="str">
        <x:v>免费即可开工</x:v>
      </x:c>
    </x:row>
    <x:row r="11">
      <x:c r="A11" s="24" t="str">
        <x:v>游标卡尺、直角尺、高精度直尺</x:v>
      </x:c>
      <x:c r="B11" s="25" t="str">
        <x:v>尺寸测量与对称校验</x:v>
      </x:c>
      <x:c r="C11" s="27" t="str">
        <x:v>已有</x:v>
      </x:c>
      <x:c r="D11" s="36" t="n">
        <x:v>50</x:v>
      </x:c>
      <x:c r="E11" s="25" t="str">
        <x:v>工具柜</x:v>
      </x:c>
      <x:c r="F11" s="25" t="str">
        <x:v>全部动手项目</x:v>
      </x:c>
      <x:c r="G11" s="29" t="str"/>
    </x:row>
    <x:row r="12">
      <x:c r="A12" s="24" t="str">
        <x:v>碳纤维专用剪（或旧剪刀）</x:v>
      </x:c>
      <x:c r="B12" s="25" t="str">
        <x:v>切割碳棒，防止崩断</x:v>
      </x:c>
      <x:c r="C12" s="27" t="str">
        <x:v>待购</x:v>
      </x:c>
      <x:c r="D12" s="36" t="n">
        <x:v>25</x:v>
      </x:c>
      <x:c r="E12" s="25" t="str">
        <x:v>工具柜</x:v>
      </x:c>
      <x:c r="F12" s="25" t="str">
        <x:v>齐柏林飞艇</x:v>
      </x:c>
      <x:c r="G12" s="29" t="str">
        <x:v>切口点 502 防散丝</x:v>
      </x:c>
    </x:row>
    <x:row r="13">
      <x:c r="A13" s="24" t="str">
        <x:v>尖嘴镊子、医用止血钳</x:v>
      </x:c>
      <x:c r="B13" s="25" t="str">
        <x:v>夹持细碳棒与细线</x:v>
      </x:c>
      <x:c r="C13" s="27" t="str">
        <x:v>待购</x:v>
      </x:c>
      <x:c r="D13" s="36" t="n">
        <x:v>30</x:v>
      </x:c>
      <x:c r="E13" s="25" t="str">
        <x:v>工具柜</x:v>
      </x:c>
      <x:c r="F13" s="25" t="str">
        <x:v>齐柏林飞艇</x:v>
      </x:c>
      <x:c r="G13" s="29" t="str"/>
    </x:row>
    <x:row r="14">
      <x:c r="A14" s="24" t="str">
        <x:v>放大镜工作灯</x:v>
      </x:c>
      <x:c r="B14" s="25" t="str">
        <x:v>细件观察与焊接照明</x:v>
      </x:c>
      <x:c r="C14" s="27" t="str">
        <x:v>待购</x:v>
      </x:c>
      <x:c r="D14" s="36" t="n">
        <x:v>60</x:v>
      </x:c>
      <x:c r="E14" s="25" t="str">
        <x:v>工作台</x:v>
      </x:c>
      <x:c r="F14" s="25" t="str">
        <x:v>飞艇、通信器</x:v>
      </x:c>
      <x:c r="G14" s="29" t="str"/>
    </x:row>
    <x:row r="15">
      <x:c r="A15" s="24" t="str">
        <x:v>切割垫板、美工刀、锉刀组</x:v>
      </x:c>
      <x:c r="B15" s="25" t="str">
        <x:v>裁切与修形</x:v>
      </x:c>
      <x:c r="C15" s="27" t="str">
        <x:v>已有</x:v>
      </x:c>
      <x:c r="D15" s="36" t="n">
        <x:v>40</x:v>
      </x:c>
      <x:c r="E15" s="25" t="str">
        <x:v>工具柜</x:v>
      </x:c>
      <x:c r="F15" s="25" t="str">
        <x:v>全部动手项目</x:v>
      </x:c>
      <x:c r="G15" s="29" t="str"/>
    </x:row>
    <x:row r="16">
      <x:c r="A16" s="24" t="str">
        <x:v>砂纸套装 400-2000 目</x:v>
      </x:c>
      <x:c r="B16" s="25" t="str">
        <x:v>打磨与接缝处理</x:v>
      </x:c>
      <x:c r="C16" s="27" t="str">
        <x:v>已有</x:v>
      </x:c>
      <x:c r="D16" s="36" t="n">
        <x:v>15</x:v>
      </x:c>
      <x:c r="E16" s="25" t="str">
        <x:v>工具柜</x:v>
      </x:c>
      <x:c r="F16" s="25" t="str">
        <x:v>飞艇、涂装</x:v>
      </x:c>
      <x:c r="G16" s="29" t="str"/>
    </x:row>
    <x:row r="17">
      <x:c r="A17" s="24" t="str">
        <x:v>小台钳与夹子</x:v>
      </x:c>
      <x:c r="B17" s="25" t="str">
        <x:v>固定工件</x:v>
      </x:c>
      <x:c r="C17" s="27" t="str">
        <x:v>已有</x:v>
      </x:c>
      <x:c r="D17" s="36" t="n">
        <x:v>50</x:v>
      </x:c>
      <x:c r="E17" s="25" t="str">
        <x:v>工作台</x:v>
      </x:c>
      <x:c r="F17" s="25" t="str">
        <x:v>飞艇、自动钢琴</x:v>
      </x:c>
      <x:c r="G17" s="29" t="str"/>
    </x:row>
    <x:row r="18">
      <x:c r="A18" s="37" t="str">
        <x:v>喷笔 + 气泵</x:v>
      </x:c>
      <x:c r="B18" s="38" t="str">
        <x:v>模型涂装</x:v>
      </x:c>
      <x:c r="C18" s="39" t="str">
        <x:v>待购</x:v>
      </x:c>
      <x:c r="D18" s="40" t="n">
        <x:v>600</x:v>
      </x:c>
      <x:c r="E18" s="38" t="str">
        <x:v>阳台工作台</x:v>
      </x:c>
      <x:c r="F18" s="38" t="str">
        <x:v>飞艇、涂装工位</x:v>
      </x:c>
      <x:c r="G18" s="41" t="str">
        <x:v>见模型涂装材料行</x:v>
      </x:c>
    </x:row>
  </x:sheetData>
  <x:conditionalFormatting sqref="C5:C18">
    <x:cfRule type="containsText" dxfId="1" priority="1" operator="containsText" text="待购"/>
  </x:conditionalFormatting>
  <x:dataValidations count="1">
    <x:dataValidation type="list" sqref="C5:C18">
      <x:formula1>"已有,待购"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E5C8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8" hidden="0" customWidth="1"/>
    <x:col min="4" max="4" width="20" hidden="0" customWidth="1"/>
    <x:col min="5" max="5" width="24" hidden="0" customWidth="1"/>
    <x:col min="6" max="6" width="46" hidden="0" customWidth="1"/>
    <x:col min="7" max="7" width="10" hidden="0" customWidth="1"/>
  </x:cols>
  <x:sheetData>
    <x:row r="2">
      <x:c r="A2" s="1" t="str">
        <x:v>线上线下同步台账</x:v>
      </x:c>
    </x:row>
    <x:row r="3">
      <x:c r="A3" s="2" t="str">
        <x:v>线下＝实物与材料的状态；线上＝发布内容、开源文件与云端存档。同一行代表一个项目的两条线必须对齐。</x:v>
      </x:c>
    </x:row>
    <x:row r="4" ht="22" customHeight="1">
      <x:c r="A4" s="21" t="str">
        <x:v>项目</x:v>
      </x:c>
      <x:c r="B4" s="22" t="str">
        <x:v>线下实物状态</x:v>
      </x:c>
      <x:c r="C4" s="22" t="str">
        <x:v>线下对应物</x:v>
      </x:c>
      <x:c r="D4" s="22" t="str">
        <x:v>线上内容状态</x:v>
      </x:c>
      <x:c r="E4" s="22" t="str">
        <x:v>线上载体</x:v>
      </x:c>
      <x:c r="F4" s="22" t="str">
        <x:v>同步动作</x:v>
      </x:c>
      <x:c r="G4" s="23" t="str">
        <x:v>状态</x:v>
      </x:c>
    </x:row>
    <x:row r="5">
      <x:c r="A5" s="24" t="str">
        <x:v>智能日历</x:v>
      </x:c>
      <x:c r="B5" s="25" t="str">
        <x:v>已完成并交付（2026-02）</x:v>
      </x:c>
      <x:c r="C5" s="25" t="str">
        <x:v>成品台历 + 作品照片</x:v>
      </x:c>
      <x:c r="D5" s="25" t="str">
        <x:v>未公开</x:v>
      </x:c>
      <x:c r="E5" s="25" t="str">
        <x:v>学校劳动实践提交（无公开链接）</x:v>
      </x:c>
      <x:c r="F5" s="25" t="str">
        <x:v>把成品照片、接线图、代码归档进本地项目文件夹，并留一份材料清单备份</x:v>
      </x:c>
      <x:c r="G5" s="42" t="str">
        <x:v>待处理</x:v>
      </x:c>
    </x:row>
    <x:row r="6">
      <x:c r="A6" s="24" t="str">
        <x:v>折叠通信器</x:v>
      </x:c>
      <x:c r="B6" s="25" t="str">
        <x:v>方案定稿，材料待采购</x:v>
      </x:c>
      <x:c r="C6" s="25" t="str">
        <x:v>经济版 BOM + 外壳模型 + 接线图</x:v>
      </x:c>
      <x:c r="D6" s="25" t="str">
        <x:v>已有完整投稿文案（草稿）</x:v>
      </x:c>
      <x:c r="E6" s="25" t="str">
        <x:v>B 站专栏/视频（待发布）</x:v>
      </x:c>
      <x:c r="F6" s="25" t="str">
        <x:v>定稿采购单后同步购物车；投稿文案里的 BOM 与本表逐条核对</x:v>
      </x:c>
      <x:c r="G6" s="42" t="str">
        <x:v>待处理</x:v>
      </x:c>
    </x:row>
    <x:row r="7">
      <x:c r="A7" s="24" t="str">
        <x:v>齐柏林飞艇</x:v>
      </x:c>
      <x:c r="B7" s="25" t="str">
        <x:v>未开工，图纸与预算已定</x:v>
      </x:c>
      <x:c r="C7" s="25" t="str">
        <x:v>1:1000 图纸、碳棒、PP 蒙皮</x:v>
      </x:c>
      <x:c r="D7" s="25" t="str">
        <x:v>计划开源图纸与 STL</x:v>
      </x:c>
      <x:c r="E7" s="25" t="str">
        <x:v>B 站视频说明区 + 网盘链接</x:v>
      </x:c>
      <x:c r="F7" s="25" t="str">
        <x:v>先出图纸 PDF 与 STL 再按表备料；开源文件写清版本号</x:v>
      </x:c>
      <x:c r="G7" s="42" t="str">
        <x:v>待处理</x:v>
      </x:c>
    </x:row>
    <x:row r="8">
      <x:c r="A8" s="24" t="str">
        <x:v>CL-1201</x:v>
      </x:c>
      <x:c r="B8" s="25" t="str">
        <x:v>概念方案阶段</x:v>
      </x:c>
      <x:c r="C8" s="25" t="str">
        <x:v>暂无实物</x:v>
      </x:c>
      <x:c r="D8" s="25" t="str">
        <x:v>未公开</x:v>
      </x:c>
      <x:c r="E8" s="25" t="str">
        <x:v>—</x:v>
      </x:c>
      <x:c r="F8" s="25" t="str">
        <x:v>先把方案整理成设计说明，再谈材料与预算</x:v>
      </x:c>
      <x:c r="G8" s="42" t="str">
        <x:v>暂缓</x:v>
      </x:c>
    </x:row>
    <x:row r="9">
      <x:c r="A9" s="24" t="str">
        <x:v>自动钢琴</x:v>
      </x:c>
      <x:c r="B9" s="25" t="str">
        <x:v>未开工，预算约 1413 元</x:v>
      </x:c>
      <x:c r="C9" s="25" t="str">
        <x:v>24 路电磁铁阵列、铝型材龙门架</x:v>
      </x:c>
      <x:c r="D9" s="25" t="str">
        <x:v>计划 B 站投稿</x:v>
      </x:c>
      <x:c r="E9" s="25" t="str">
        <x:v>B 站视频（待制作）</x:v>
      </x:c>
      <x:c r="F9" s="25" t="str">
        <x:v>先买 2 个电磁铁 + 1 块 MOSFET 验证敲击，再分两批采购</x:v>
      </x:c>
      <x:c r="G9" s="42" t="str">
        <x:v>待处理</x:v>
      </x:c>
    </x:row>
    <x:row r="10">
      <x:c r="A10" s="24" t="str">
        <x:v>助力外骨骼</x:v>
      </x:c>
      <x:c r="B10" s="25" t="str">
        <x:v>方案评估阶段</x:v>
      </x:c>
      <x:c r="C10" s="25" t="str">
        <x:v>暂无实物</x:v>
      </x:c>
      <x:c r="D10" s="25" t="str">
        <x:v>无</x:v>
      </x:c>
      <x:c r="E10" s="25" t="str">
        <x:v>—</x:v>
      </x:c>
      <x:c r="F10" s="25" t="str">
        <x:v>先定路线（无源入门 vs 有源舵机）再补材料与预算</x:v>
      </x:c>
      <x:c r="G10" s="42" t="str">
        <x:v>暂缓</x:v>
      </x:c>
    </x:row>
    <x:row r="11">
      <x:c r="A11" s="24" t="str">
        <x:v>模型涂装</x:v>
      </x:c>
      <x:c r="B11" s="25" t="str">
        <x:v>未搭建</x:v>
      </x:c>
      <x:c r="C11" s="25" t="str">
        <x:v>暂无实物</x:v>
      </x:c>
      <x:c r="D11" s="25" t="str">
        <x:v>无</x:v>
      </x:c>
      <x:c r="E11" s="25" t="str">
        <x:v>—</x:v>
      </x:c>
      <x:c r="F11" s="25" t="str">
        <x:v>在喷罐与喷笔 + 气泵之间二选一，选定后更新本表预算</x:v>
      </x:c>
      <x:c r="G11" s="42" t="str">
        <x:v>待处理</x:v>
      </x:c>
    </x:row>
    <x:row r="12">
      <x:c r="A12" s="24" t="str">
        <x:v>自我介绍视频</x:v>
      </x:c>
      <x:c r="B12" s="25" t="str">
        <x:v>拍摄中，已有两段起床素材</x:v>
      </x:c>
      <x:c r="C12" s="25" t="str">
        <x:v>素材 + 四段脚本</x:v>
      </x:c>
      <x:c r="D12" s="25" t="str">
        <x:v>未发布</x:v>
      </x:c>
      <x:c r="E12" s="25" t="str">
        <x:v>B 站 / 抖音（待定）</x:v>
      </x:c>
      <x:c r="F12" s="25" t="str">
        <x:v>补拍书桌书架镜头，写完整旁白稿，再粗剪</x:v>
      </x:c>
      <x:c r="G12" s="42" t="str">
        <x:v>待处理</x:v>
      </x:c>
    </x:row>
    <x:row r="13">
      <x:c r="A13" s="37" t="str">
        <x:v>Minecraft模组</x:v>
      </x:c>
      <x:c r="B13" s="38" t="str">
        <x:v>方案已定，待搭环境</x:v>
      </x:c>
      <x:c r="C13" s="38" t="str">
        <x:v>暂无实物</x:v>
      </x:c>
      <x:c r="D13" s="38" t="str">
        <x:v>未公开</x:v>
      </x:c>
      <x:c r="E13" s="38" t="str">
        <x:v>—</x:v>
      </x:c>
      <x:c r="F13" s="38" t="str">
        <x:v>定 Forge 1.20.1，先跑通一个空模组</x:v>
      </x:c>
      <x:c r="G13" s="43" t="str">
        <x:v>待处理</x:v>
      </x:c>
    </x:row>
  </x:sheetData>
  <x:conditionalFormatting sqref="G5:G13">
    <x:cfRule type="containsText" dxfId="2" priority="1" operator="containsText" text="待处理"/>
    <x:cfRule type="containsText" dxfId="3" priority="2" operator="containsText" text="已完成"/>
  </x:conditionalFormatting>
  <x:dataValidations count="1">
    <x:dataValidation type="list" sqref="G5:G13">
      <x:formula1>"已完成,待处理,暂缓"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F7F7F"/>
  </x:sheetPr>
  <x:sheetViews>
    <x:sheetView showGridLines="0" workbookViewId="0"/>
  </x:sheetViews>
  <x:sheetFormatPr defaultRowHeight="15"/>
  <x:cols>
    <x:col min="1" max="1" width="6" hidden="0" customWidth="1"/>
    <x:col min="2" max="2" width="110" hidden="0" customWidth="1"/>
  </x:cols>
  <x:sheetData>
    <x:row r="2">
      <x:c r="A2" s="1" t="str">
        <x:v>使用与同步说明</x:v>
      </x:c>
    </x:row>
    <x:row r="3">
      <x:c r="A3" s="2" t="str">
        <x:v>这份工作簿是全部 DIY 项目材料与进度的唯一准绳。</x:v>
      </x:c>
    </x:row>
    <x:row r="5">
      <x:c r="A5" s="67" t="str">
        <x:v>1</x:v>
      </x:c>
      <x:c r="B5" s="70" t="str">
        <x:v>材料总表是主数据。每个项目的材料、数量、单价、状态、存放位置都只在这里维护一次，其他表用公式自动汇总。</x:v>
      </x:c>
    </x:row>
    <x:row r="6">
      <x:c r="A6" s="67" t="str">
        <x:v>2</x:v>
      </x:c>
      <x:c r="B6" s="70" t="str">
        <x:v>买完东西后，把材料总表的状态从「待购」改成「已有」，并把实际存放位置填上，待购预算会自动减少。</x:v>
      </x:c>
    </x:row>
    <x:row r="7">
      <x:c r="A7" s="67" t="str">
        <x:v>3</x:v>
      </x:c>
      <x:c r="B7" s="70" t="str">
        <x:v>分项预算与总览都是公式，不用手改；只有「备注」列需要手工补充。</x:v>
      </x:c>
    </x:row>
    <x:row r="8">
      <x:c r="A8" s="67" t="str">
        <x:v>4</x:v>
      </x:c>
      <x:c r="B8" s="70" t="str">
        <x:v>工具与设备记多项目共用的东西，属一次性投入，不要重复计入单个项目成本。</x:v>
      </x:c>
    </x:row>
    <x:row r="9">
      <x:c r="A9" s="67" t="str"/>
      <x:c r="B9" s="71" t="str">
        <x:v>二、采购批次</x:v>
      </x:c>
    </x:row>
    <x:row r="10">
      <x:c r="A10" s="67" t="str">
        <x:v>5</x:v>
      </x:c>
      <x:c r="B10" s="70" t="str">
        <x:v>P0 立即采购：低值、必买，或用来验证方案的关键件，本周就能下单。</x:v>
      </x:c>
    </x:row>
    <x:row r="11">
      <x:c r="A11" s="67" t="str">
        <x:v>6</x:v>
      </x:c>
      <x:c r="B11" s="70" t="str">
        <x:v>P1 确认后：依赖前一步验证结果，或金额偏大，等方案定稿再买。</x:v>
      </x:c>
    </x:row>
    <x:row r="12">
      <x:c r="A12" s="67" t="str">
        <x:v>7</x:v>
      </x:c>
      <x:c r="B12" s="70" t="str">
        <x:v>P2 后期 / 可选：可选配件与长期投入，例如喷笔 + 气泵（合计约 600 元）。</x:v>
      </x:c>
    </x:row>
    <x:row r="13">
      <x:c r="A13" s="67" t="str">
        <x:v>8</x:v>
      </x:c>
      <x:c r="B13" s="70" t="str">
        <x:v>预算紧就先做 P0：P0 一共 12 项，约 477 元，足够把台历、通信器、自动钢琴的验证链路跑通。</x:v>
      </x:c>
    </x:row>
    <x:row r="14">
      <x:c r="A14" s="67" t="str"/>
      <x:c r="B14" s="71" t="str">
        <x:v>三、线上线下同步规则</x:v>
      </x:c>
    </x:row>
    <x:row r="15">
      <x:c r="A15" s="67" t="str">
        <x:v>9</x:v>
      </x:c>
      <x:c r="B15" s="70" t="str">
        <x:v>一排一项目。线下状态与线上状态写在同一行，任何一边变化，当天就把这一行更新掉。</x:v>
      </x:c>
    </x:row>
    <x:row r="16">
      <x:c r="A16" s="67" t="str">
        <x:v>10</x:v>
      </x:c>
      <x:c r="B16" s="70" t="str">
        <x:v>线上内容以「已发布 / 待发布」为准填写；线下实物以「未开工 / 进行中 / 已完成」为准填写。</x:v>
      </x:c>
    </x:row>
    <x:row r="17">
      <x:c r="A17" s="67" t="str">
        <x:v>11</x:v>
      </x:c>
      <x:c r="B17" s="70" t="str">
        <x:v>发布前必须核对：视频或专栏里写的材料型号、数量、价格，要与材料总表完全一致；开源文件（STL、图纸）要写清版本号。</x:v>
      </x:c>
    </x:row>
    <x:row r="18">
      <x:c r="A18" s="67" t="str">
        <x:v>12</x:v>
      </x:c>
      <x:c r="B18" s="70" t="str">
        <x:v>线下实物一旦改动（换型号、改数量、换存放位置），先改材料总表，再改线上文案，顺序不能反。</x:v>
      </x:c>
    </x:row>
    <x:row r="19">
      <x:c r="A19" s="67" t="str"/>
      <x:c r="B19" s="71" t="str">
        <x:v>四、材料编号与存放</x:v>
      </x:c>
    </x:row>
    <x:row r="20">
      <x:c r="A20" s="67" t="str">
        <x:v>13</x:v>
      </x:c>
      <x:c r="B20" s="70" t="str">
        <x:v>材料箱按类别固定命名：电子元件盒 A/B/C/D、材料箱（金属/板材/管材/薄膜/五金/纸品/线材/型材/执行器）、耗材盒、工具柜、模型柜、3D 打印机耗材架。</x:v>
      </x:c>
    </x:row>
    <x:row r="21">
      <x:c r="A21" s="67" t="str">
        <x:v>14</x:v>
      </x:c>
      <x:c r="B21" s="70" t="str">
        <x:v>每箱贴一张标签，写上箱名与主要材料；材料总表的「存放位置」必须和标签用同一个名字。</x:v>
      </x:c>
    </x:row>
    <x:row r="22">
      <x:c r="A22" s="67" t="str">
        <x:v>15</x:v>
      </x:c>
      <x:c r="B22" s="70" t="str">
        <x:v>废旧自制类材料先找后买：确认家里或学校找不到，再按备注里的替代方案采购。</x:v>
      </x:c>
    </x:row>
    <x:row r="23">
      <x:c r="A23" s="67" t="str"/>
      <x:c r="B23" s="71" t="str">
        <x:v>五、数据来源</x:v>
      </x:c>
    </x:row>
    <x:row r="24">
      <x:c r="A24" s="67" t="str">
        <x:v>16</x:v>
      </x:c>
      <x:c r="B24" s="70" t="str">
        <x:v>项目与材料来自本地 DeepSeek 对话记录：2026-02-07 智能马年台历、2026-04-12 通信器、2026-04-13 模型喷漆、2026-04-14 自动钢琴与外骨骼评估、2026-04-20 与 2026-05-23 齐柏林飞艇、2026-06-30 助力外骨骼、2026-10-03 自我介绍视频、2025-03 至 2025-06 Minecraft 模组。</x:v>
      </x:c>
    </x:row>
    <x:row r="25">
      <x:c r="A25" s="67" t="str">
        <x:v>17</x:v>
      </x:c>
      <x:c r="B25" s="70" t="str">
        <x:v>单价为对话记录中的参考价，实际下单价格可能不同，以订单为准并把差价回填到材料总表。</x:v>
      </x:c>
    </x:row>
    <x:row r="26">
      <x:c r="A26" s="67" t="str">
        <x:v>18</x:v>
      </x:c>
      <x:c r="B26" s="70" t="str">
        <x:v>飞艇部分采用 2026-05-23 的升级版：细碳纤维棒骨架 + 聚丙烯蒙皮 + PP 附着力促进剂，材料与预算按升级版计。</x:v>
      </x:c>
    </x:row>
    <x:row r="27">
      <x:c r="A27" s="67" t="str">
        <x:v>19</x:v>
      </x:c>
      <x:c r="B27" s="70" t="str">
        <x:v>对账提醒：自动钢琴原讨论写的「约 1400 元」与其物料表逐项相加的 634 元对不上，本表按 634 元计。</x:v>
      </x:c>
    </x:row>
  </x:sheetData>
  <x:pageMargins left="0.7" right="0.7" top="0.75" bottom="0.75" header="0.3" footer="0.3"/>
</x:worksheet>
</file>